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46605674-C112-4805-B8B2-24A76CCC4A25}" xr6:coauthVersionLast="47" xr6:coauthVersionMax="47" xr10:uidLastSave="{00000000-0000-0000-0000-000000000000}"/>
  <bookViews>
    <workbookView xWindow="28680" yWindow="-120" windowWidth="29040" windowHeight="15720" firstSheet="5" activeTab="6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<sst xmlns="http://schemas.openxmlformats.org/spreadsheetml/2006/main" count="520" uniqueCount="271">
  <si>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</si>
  <si>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</si>
  <si>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</si>
  <si>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</si>
  <si>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</si>
  <si>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</si>
  <si>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</si>
  <si>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</si>
  <si>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</si>
  <si>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</si>
  <si>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</si>
  <si>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</si>
  <si>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</si>
  <si>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</si>
  <si>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</si>
  <si>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</si>
  <si>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</si>
  <si>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</si>
  <si>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</si>
  <si>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</si>
  <si>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</si>
  <si>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</si>
  <si>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</si>
  <si>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</si>
  <si>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</si>
  <si>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</si>
  <si>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</si>
  <si>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</si>
  <si>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</si>
  <si>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</si>
  <si>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</si>
  <si>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</si>
  <si>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</si>
  <si>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</si>
  <si>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</si>
  <si>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</si>
  <si>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</si>
  <si>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</si>
  <si>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</si>
  <si>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</si>
  <si>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</si>
  <si>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</si>
  <si>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</si>
  <si>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</si>
  <si>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</si>
  <si>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</si>
  <si>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</si>
  <si>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</si>
  <si>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</si>
  <si>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</si>
  <si>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</si>
  <si>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</si>
  <si>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</si>
  <si>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</si>
  <si>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</si>
  <si>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</si>
  <si>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</si>
  <si>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</si>
  <si>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</si>
  <si>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</si>
  <si>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</si>
  <si>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</si>
  <si>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</si>
  <si>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</si>
  <si>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</si>
  <si>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</si>
  <si>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</si>
  <si>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</si>
  <si>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</si>
  <si>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</si>
  <si>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</si>
  <si>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</si>
  <si>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</si>
  <si>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</si>
  <si>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</si>
  <si>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</si>
  <si>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</si>
  <si>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</si>
  <si>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</si>
  <si>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</si>
  <si>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</si>
  <si>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</si>
  <si>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</si>
  <si>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</si>
  <si>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</si>
  <si>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</si>
  <si>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</si>
  <si>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</si>
  <si>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</si>
  <si>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</si>
  <si>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</si>
  <si>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</si>
  <si>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</si>
  <si>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</si>
  <si>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</si>
  <si>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</si>
  <si>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</si>
  <si>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</si>
  <si>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</si>
  <si>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</si>
  <si>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</si>
  <si>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</si>
  <si>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</si>
  <si>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</si>
  <si>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</si>
  <si>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</si>
  <si>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</si>
  <si>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</si>
  <si>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</si>
  <si>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</si>
  <si>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</si>
  <si>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</si>
  <si>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</si>
  <si>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</si>
  <si>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</si>
  <si>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</si>
  <si>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</si>
  <si>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</si>
  <si>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</si>
  <si>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</si>
  <si>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</si>
  <si>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</si>
  <si>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</si>
  <si>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</si>
  <si>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</si>
  <si>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</si>
  <si>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</si>
  <si>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</si>
  <si>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</si>
  <si>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</si>
  <si>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</si>
  <si>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</si>
  <si>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</si>
  <si>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</si>
  <si>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</si>
  <si>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</si>
  <si>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</si>
  <si>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</si>
  <si>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</si>
  <si>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</si>
  <si>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</si>
  <si>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</si>
  <si>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</si>
  <si>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</si>
  <si>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</si>
  <si>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</si>
  <si>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</si>
  <si>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</si>
  <si>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</si>
  <si>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</si>
  <si>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</si>
  <si>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</si>
  <si>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</si>
  <si>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</si>
  <si>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</si>
  <si>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</si>
  <si>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</si>
  <si>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</si>
  <si>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</si>
  <si>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</si>
  <si>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</si>
  <si>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</si>
  <si>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</si>
  <si>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</si>
  <si>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</si>
  <si>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</si>
  <si>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</si>
  <si>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</si>
  <si>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</si>
  <si>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</si>
  <si>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</si>
  <si>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</si>
  <si>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</si>
  <si>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</si>
  <si>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</si>
  <si>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</si>
  <si>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</si>
  <si>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</si>
  <si>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</si>
  <si>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</si>
  <si>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</si>
  <si>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</si>
  <si>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</si>
  <si>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</si>
  <si>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</si>
  <si>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</si>
  <si>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</si>
  <si>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</si>
  <si>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</si>
  <si>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</si>
  <si>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</si>
  <si>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</si>
  <si>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</si>
  <si>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</si>
  <si>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</si>
  <si>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</si>
  <si>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</si>
  <si>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</si>
  <si>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</si>
  <si>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</si>
  <si>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</si>
  <si>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</si>
  <si>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</si>
  <si>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</si>
  <si>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</si>
  <si>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</si>
  <si>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</si>
  <si>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</si>
  <si>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</si>
  <si>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</si>
  <si>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</si>
  <si>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</si>
  <si>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</si>
  <si>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</si>
  <si>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</si>
  <si>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</si>
  <si>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</si>
  <si>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</si>
  <si>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</si>
  <si>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</si>
  <si>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</si>
  <si>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</si>
  <si>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</si>
  <si>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</si>
  <si>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</si>
  <si>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</si>
  <si>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</si>
  <si>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</si>
  <si>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</si>
  <si>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</si>
  <si>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</si>
  <si>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</si>
  <si>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</si>
  <si>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</si>
  <si>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</si>
  <si>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</si>
  <si>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</si>
  <si>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</si>
  <si>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</si>
  <si>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</si>
  <si>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</si>
  <si>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</si>
  <si>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</si>
  <si>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</si>
  <si>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</si>
  <si>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</si>
  <si>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Aaron burton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</si>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</sst>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/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/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/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/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/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4" sqref="I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5" t="s">
        <v>230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 t="s">
        <v>197</v>
      </c>
      <c r="B4" s="7" t="s">
        <v>117</v>
      </c>
      <c r="C4" s="10" t="str">
        <f>IF(B4="","",IFERROR(VLOOKUP(B4,Players!$A$4:$B$200,2,FALSE),""))</f>
        <v>Sam Peters</v>
      </c>
      <c r="D4" s="7" t="s">
        <v>36</v>
      </c>
      <c r="E4" s="7">
        <v>1</v>
      </c>
      <c r="F4" s="7">
        <v>1</v>
      </c>
      <c r="G4" s="10">
        <f t="shared" ref="G4:G67" si="0">IF(AND(E4="",F4=""),"",SUM(E4:F4))</f>
        <v>2</v>
      </c>
      <c r="H4" s="7">
        <v>2</v>
      </c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5" t="s">
        <v>238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 t="s">
        <v>197</v>
      </c>
      <c r="B4" s="7" t="s">
        <v>129</v>
      </c>
      <c r="C4" s="10" t="s">
        <v>246</v>
      </c>
      <c r="D4" s="16">
        <v>60</v>
      </c>
      <c r="E4" s="7">
        <v>20</v>
      </c>
      <c r="F4" s="7">
        <v>1</v>
      </c>
      <c r="G4" s="10">
        <f t="shared" ref="G4:G35" si="0">IF(E4="","",E4-F4)</f>
        <v>19</v>
      </c>
      <c r="H4" s="11">
        <f t="shared" ref="H4:H35" si="1">IF(OR(E4="",E4=0),"",G4/E4)</f>
        <v>0.95</v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16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16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16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16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16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16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16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16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16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16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16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16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tabSelected="1" workbookViewId="0">
      <selection activeCell="K12" sqref="K12"/>
    </sheetView>
  </sheetViews>
  <sheetFormatPr defaultRowHeight="14.25"/>
  <cols>
    <col min="1" max="1" width="20.375" customWidth="1"/>
  </cols>
  <sheetData>
    <row r="1" spans="1:10" ht="20.25">
      <c r="A1" s="15" t="s">
        <v>247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248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6" t="s">
        <v>254</v>
      </c>
      <c r="H3" s="6" t="s">
        <v>255</v>
      </c>
      <c r="I3" s="6" t="s">
        <v>256</v>
      </c>
      <c r="J3" s="6" t="s">
        <v>257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4</v>
      </c>
      <c r="C12">
        <v>2</v>
      </c>
      <c r="D12">
        <v>1</v>
      </c>
      <c r="E12">
        <v>1</v>
      </c>
      <c r="F12">
        <v>0</v>
      </c>
      <c r="G12">
        <v>12</v>
      </c>
      <c r="H12">
        <v>6</v>
      </c>
      <c r="I12">
        <v>6</v>
      </c>
      <c r="J12">
        <v>9</v>
      </c>
    </row>
    <row r="13" spans="1:10">
      <c r="A13" t="s">
        <v>81</v>
      </c>
      <c r="B13">
        <v>1</v>
      </c>
      <c r="C13">
        <v>0</v>
      </c>
      <c r="D13">
        <v>0</v>
      </c>
      <c r="E13">
        <v>0</v>
      </c>
      <c r="F13">
        <v>1</v>
      </c>
      <c r="G13">
        <v>2</v>
      </c>
      <c r="H13">
        <v>5</v>
      </c>
      <c r="I13">
        <v>-3</v>
      </c>
      <c r="J13">
        <v>0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2</v>
      </c>
      <c r="H14">
        <v>5</v>
      </c>
      <c r="I14">
        <v>-3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5" t="s">
        <v>258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248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6" t="s">
        <v>254</v>
      </c>
      <c r="H3" s="6" t="s">
        <v>255</v>
      </c>
      <c r="I3" s="6" t="s">
        <v>256</v>
      </c>
      <c r="J3" s="6" t="s">
        <v>257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9" zoomScaleNormal="100" zoomScaleSheetLayoutView="100" workbookViewId="0">
      <selection activeCell="B32" sqref="B3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6" t="s">
        <v>260</v>
      </c>
      <c r="M2" s="6" t="s">
        <v>261</v>
      </c>
    </row>
    <row r="3" spans="1:13" ht="30">
      <c r="A3" s="1" t="s">
        <v>111</v>
      </c>
      <c r="B3" s="1" t="s">
        <v>262</v>
      </c>
      <c r="C3" s="1" t="s">
        <v>263</v>
      </c>
      <c r="D3" s="1" t="s">
        <v>264</v>
      </c>
      <c r="E3" s="1" t="s">
        <v>249</v>
      </c>
      <c r="F3" s="1" t="s">
        <v>265</v>
      </c>
      <c r="G3" s="1" t="s">
        <v>198</v>
      </c>
      <c r="H3" s="1" t="s">
        <v>257</v>
      </c>
      <c r="I3" s="1" t="s">
        <v>236</v>
      </c>
      <c r="J3" s="1" t="s">
        <v>237</v>
      </c>
      <c r="K3" s="13"/>
      <c r="L3" s="12" t="s">
        <v>266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1</v>
      </c>
      <c r="F4" s="12">
        <f>IF(A4="","",SUMIFS('Player Game Stats'!$E$4:$E$500,'Player Game Stats'!$B$4:$B$500,A4))</f>
        <v>1</v>
      </c>
      <c r="G4" s="12">
        <f>IF(A4="","",SUMIFS('Player Game Stats'!$F$4:$F$500,'Player Game Stats'!$B$4:$B$500,A4))</f>
        <v>1</v>
      </c>
      <c r="H4" s="12">
        <f t="shared" ref="H4:H35" si="0">IF(A4="","",F4+G4)</f>
        <v>2</v>
      </c>
      <c r="I4" s="12">
        <f>IF(A4="","",SUMIFS('Player Game Stats'!$H$4:$H$500,'Player Game Stats'!$B$4:$B$500,A4))</f>
        <v>2</v>
      </c>
      <c r="J4" s="12">
        <f>IF(A4="","",SUMIFS('Player Game Stats'!$I$4:$I$500,'Player Game Stats'!$B$4:$B$500,A4))</f>
        <v>0</v>
      </c>
      <c r="K4" s="13"/>
      <c r="L4" s="12" t="s">
        <v>267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268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269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270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2" t="str">
        <f>IF(Players!A9="","",Players!A9)</f>
        <v>P006</v>
      </c>
      <c r="B9" s="12" t="str">
        <f>IF(A9="","",IFERROR(VLOOKUP(A9,Players!$A$4:$D$200,2,FALSE),""))</f>
        <v>Lewis Smith</v>
      </c>
      <c r="C9" s="12">
        <f>IF(A9="","",IFERROR(VLOOKUP(A9,Players!$A$4:$D$200,3,FALSE),""))</f>
        <v>13</v>
      </c>
      <c r="D9" s="12" t="str">
        <f>IF(A9="","",IFERROR(VLOOKUP(A9,Players!$A$4:$D$200,4,FALSE),""))</f>
        <v>Forward</v>
      </c>
      <c r="E9" s="12">
        <f>IF(A9="","",COUNTIFS('Player Game Stats'!$B$4:$B$500,A9,'Player Game Stats'!$D$4:$D$500,"Yes"))</f>
        <v>0</v>
      </c>
      <c r="F9" s="12">
        <f>IF(A9="","",SUMIFS('Player Game Stats'!$E$4:$E$500,'Player Game Stats'!$B$4:$B$500,A9))</f>
        <v>0</v>
      </c>
      <c r="G9" s="12">
        <f>IF(A9="","",SUMIFS('Player Game Stats'!$F$4:$F$500,'Player Game Stats'!$B$4:$B$500,A9))</f>
        <v>0</v>
      </c>
      <c r="H9" s="12">
        <f t="shared" si="0"/>
        <v>0</v>
      </c>
      <c r="I9" s="12">
        <f>IF(A9="","",SUMIFS('Player Game Stats'!$H$4:$H$500,'Player Game Stats'!$B$4:$B$500,A9))</f>
        <v>0</v>
      </c>
      <c r="J9" s="12">
        <f>IF(A9="","",SUMIFS('Player Game Stats'!$I$4:$I$500,'Player Game Stats'!$B$4:$B$500,A9))</f>
        <v>0</v>
      </c>
      <c r="K9" s="13"/>
      <c r="L9" s="13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2026-08-11T22:33:06Z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