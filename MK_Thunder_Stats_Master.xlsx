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Files/other/"/>
    </mc:Choice>
  </mc:AlternateContent>
  <xr:revisionPtr revIDLastSave="450" documentId="13_ncr:1_{3A096520-12A4-43F2-9693-BC14297102B2}" xr6:coauthVersionLast="47" xr6:coauthVersionMax="47" xr10:uidLastSave="{8096D068-DFE5-42BD-B911-D03FAAFCB2D4}"/>
  <bookViews>
    <workbookView xWindow="30645" yWindow="1035" windowWidth="21600" windowHeight="11295" activeTab="4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F4" i="6"/>
  <c r="E4" i="6"/>
  <c r="E8" i="6"/>
  <c r="E9" i="6"/>
  <c r="E15" i="6"/>
  <c r="E16" i="6"/>
  <c r="E17" i="6"/>
  <c r="E33" i="6"/>
  <c r="F33" i="6"/>
  <c r="F8" i="6"/>
  <c r="G8" i="6"/>
  <c r="G16" i="6"/>
  <c r="G17" i="6"/>
  <c r="C4" i="4"/>
  <c r="C5" i="4"/>
  <c r="C6" i="4"/>
  <c r="C7" i="4"/>
  <c r="C8" i="4"/>
  <c r="G8" i="4"/>
  <c r="M4" i="6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7" i="4"/>
  <c r="G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E5" i="6"/>
  <c r="D5" i="6"/>
  <c r="C5" i="6"/>
  <c r="B5" i="6"/>
  <c r="J6" i="6"/>
  <c r="I6" i="6"/>
  <c r="G6" i="6"/>
  <c r="F6" i="6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D8" i="6"/>
  <c r="C8" i="6"/>
  <c r="B8" i="6"/>
  <c r="J9" i="6"/>
  <c r="I9" i="6"/>
  <c r="G9" i="6"/>
  <c r="F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E14" i="6"/>
  <c r="D14" i="6"/>
  <c r="C14" i="6"/>
  <c r="B14" i="6"/>
  <c r="J15" i="6"/>
  <c r="I15" i="6"/>
  <c r="G15" i="6"/>
  <c r="F15" i="6"/>
  <c r="D15" i="6"/>
  <c r="C15" i="6"/>
  <c r="B15" i="6"/>
  <c r="J16" i="6"/>
  <c r="I16" i="6"/>
  <c r="F16" i="6"/>
  <c r="D16" i="6"/>
  <c r="C16" i="6"/>
  <c r="B16" i="6"/>
  <c r="J17" i="6"/>
  <c r="I17" i="6"/>
  <c r="F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16" i="6" l="1"/>
  <c r="H5" i="6"/>
  <c r="H6" i="6"/>
  <c r="H22" i="6"/>
  <c r="H11" i="6"/>
  <c r="H30" i="6"/>
  <c r="H14" i="6"/>
  <c r="H15" i="6"/>
  <c r="H26" i="6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<sst xmlns="http://schemas.openxmlformats.org/spreadsheetml/2006/main" count="578" uniqueCount="296">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</sst>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H16" sqref="H16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/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D6" sqref="D6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273</v>
      </c>
      <c r="J5" s="7" t="s">
        <v>294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276</v>
      </c>
      <c r="J7" s="7" t="s">
        <v>295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294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273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>
        <v>7</v>
      </c>
      <c r="H12" s="7">
        <v>0</v>
      </c>
      <c r="I12" s="10" t="s">
        <v>273</v>
      </c>
      <c r="J12" s="7"/>
      <c r="K12" s="7" t="s">
        <v>229</v>
      </c>
      <c r="L12" s="7"/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tabSelected="1" zoomScaleNormal="100" zoomScaleSheetLayoutView="100" workbookViewId="0">
      <selection activeCell="I14" sqref="I1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254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207</v>
      </c>
      <c r="C4" s="10" t="str">
        <f>IF(B5="","",IFERROR(VLOOKUP(B4,Players!$A$4:$B$200,2,FALSE),""))</f>
        <v>Cass  McCormack</v>
      </c>
      <c r="D4" s="7" t="s">
        <v>36</v>
      </c>
      <c r="E4" s="7">
        <v>1</v>
      </c>
      <c r="F4" s="7">
        <v>0</v>
      </c>
      <c r="G4" s="10">
        <v>1</v>
      </c>
      <c r="H4" s="7">
        <v>0</v>
      </c>
      <c r="I4" s="7"/>
      <c r="J4" s="7"/>
    </row>
    <row r="5" spans="1:10">
      <c r="A5" s="7" t="s">
        <v>226</v>
      </c>
      <c r="B5" s="7" t="s">
        <v>133</v>
      </c>
      <c r="C5" s="10" t="str">
        <f>IF(B5="","",IFERROR(VLOOKUP(B5,Players!$A$4:$B$200,2,FALSE),""))</f>
        <v>Charlie Russell</v>
      </c>
      <c r="D5" s="7" t="s">
        <v>36</v>
      </c>
      <c r="E5" s="7">
        <v>1</v>
      </c>
      <c r="F5" s="7">
        <v>1</v>
      </c>
      <c r="G5" s="10">
        <f>IF(AND(E5="",F5=""),"",SUM(E5:F5))</f>
        <v>2</v>
      </c>
      <c r="H5" s="7">
        <v>5</v>
      </c>
      <c r="I5" s="7"/>
      <c r="J5" s="7"/>
    </row>
    <row r="6" spans="1:10">
      <c r="A6" s="7" t="s">
        <v>226</v>
      </c>
      <c r="B6" s="7" t="s">
        <v>136</v>
      </c>
      <c r="C6" s="10" t="str">
        <f>IF(B6="","",IFERROR(VLOOKUP(B6,Players!$A$4:$B$200,2,FALSE),""))</f>
        <v>Lewis Smith</v>
      </c>
      <c r="D6" s="7" t="s">
        <v>36</v>
      </c>
      <c r="E6" s="7">
        <v>0</v>
      </c>
      <c r="F6" s="7">
        <v>0</v>
      </c>
      <c r="G6" s="10">
        <f t="shared" ref="G6:G67" si="0">IF(AND(E6="",F6=""),"",SUM(E6:F6))</f>
        <v>0</v>
      </c>
      <c r="H6" s="7">
        <v>7</v>
      </c>
      <c r="I6" s="7"/>
      <c r="J6" s="7"/>
    </row>
    <row r="7" spans="1:10">
      <c r="A7" s="7" t="s">
        <v>226</v>
      </c>
      <c r="B7" s="7" t="s">
        <v>154</v>
      </c>
      <c r="C7" s="10" t="str">
        <f>IF(B7="","",IFERROR(VLOOKUP(B7,Players!$A$4:$B$200,2,FALSE),""))</f>
        <v>Joshua Blackwood</v>
      </c>
      <c r="D7" s="7" t="s">
        <v>36</v>
      </c>
      <c r="E7" s="7">
        <v>0</v>
      </c>
      <c r="F7" s="7">
        <v>0</v>
      </c>
      <c r="G7" s="10">
        <f t="shared" si="0"/>
        <v>0</v>
      </c>
      <c r="H7" s="7">
        <v>2</v>
      </c>
      <c r="I7" s="7"/>
      <c r="J7" s="7"/>
    </row>
    <row r="8" spans="1:10">
      <c r="A8" s="7" t="s">
        <v>226</v>
      </c>
      <c r="B8" s="7" t="s">
        <v>157</v>
      </c>
      <c r="C8" s="10" t="str">
        <f>IF(B8="","",IFERROR(VLOOKUP(B8,Players!$A$4:$B$200,2,FALSE),""))</f>
        <v>Harry MacGarvery</v>
      </c>
      <c r="D8" s="7" t="s">
        <v>36</v>
      </c>
      <c r="E8" s="7">
        <v>0</v>
      </c>
      <c r="F8" s="7">
        <v>2</v>
      </c>
      <c r="G8" s="10">
        <f t="shared" si="0"/>
        <v>2</v>
      </c>
      <c r="H8" s="7">
        <v>0</v>
      </c>
      <c r="I8" s="7"/>
      <c r="J8" s="7"/>
    </row>
    <row r="9" spans="1:10">
      <c r="A9" s="7" t="s">
        <v>226</v>
      </c>
      <c r="B9" s="7" t="s">
        <v>160</v>
      </c>
      <c r="C9" s="10" t="str">
        <f>IF(B9="","",IFERROR(VLOOKUP(B9,Players!$A$4:$B$200,2,FALSE),""))</f>
        <v>Chalie Conroy</v>
      </c>
      <c r="D9" s="7" t="s">
        <v>36</v>
      </c>
      <c r="E9" s="7">
        <v>0</v>
      </c>
      <c r="F9" s="7">
        <v>1</v>
      </c>
      <c r="G9" s="10">
        <f t="shared" si="0"/>
        <v>1</v>
      </c>
      <c r="H9" s="7">
        <v>0</v>
      </c>
      <c r="I9" s="7"/>
      <c r="J9" s="7"/>
    </row>
    <row r="10" spans="1:10">
      <c r="A10" s="7" t="s">
        <v>226</v>
      </c>
      <c r="B10" s="7" t="s">
        <v>168</v>
      </c>
      <c r="C10" s="10" t="str">
        <f>IF(B10="","",IFERROR(VLOOKUP(B10,Players!$A$4:$B$200,2,FALSE),""))</f>
        <v>Hayden Hagger</v>
      </c>
      <c r="D10" s="7" t="s">
        <v>36</v>
      </c>
      <c r="E10" s="7">
        <v>0</v>
      </c>
      <c r="F10" s="7">
        <v>2</v>
      </c>
      <c r="G10" s="10">
        <f t="shared" si="0"/>
        <v>2</v>
      </c>
      <c r="H10" s="7">
        <v>0</v>
      </c>
      <c r="I10" s="7"/>
      <c r="J10" s="7"/>
    </row>
    <row r="11" spans="1:10">
      <c r="A11" s="7" t="s">
        <v>226</v>
      </c>
      <c r="B11" s="7" t="s">
        <v>124</v>
      </c>
      <c r="C11" s="10" t="str">
        <f>IF(B11="","",IFERROR(VLOOKUP(B11,Players!$A$4:$B$200,2,FALSE),""))</f>
        <v>Dominic Wealthall</v>
      </c>
      <c r="D11" s="7" t="s">
        <v>36</v>
      </c>
      <c r="E11" s="7">
        <v>0</v>
      </c>
      <c r="F11" s="7">
        <v>1</v>
      </c>
      <c r="G11" s="10">
        <f t="shared" si="0"/>
        <v>1</v>
      </c>
      <c r="H11" s="7">
        <v>7</v>
      </c>
      <c r="I11" s="7"/>
      <c r="J11" s="7"/>
    </row>
    <row r="12" spans="1:10">
      <c r="A12" s="7" t="s">
        <v>226</v>
      </c>
      <c r="B12" s="7" t="s">
        <v>195</v>
      </c>
      <c r="C12" s="10" t="str">
        <f>IF(B12="","",IFERROR(VLOOKUP(B12,Players!$A$4:$B$200,2,FALSE),""))</f>
        <v>Ryan Wonfor</v>
      </c>
      <c r="D12" s="7" t="s">
        <v>36</v>
      </c>
      <c r="E12" s="7">
        <v>1</v>
      </c>
      <c r="F12" s="7">
        <v>1</v>
      </c>
      <c r="G12" s="10">
        <f t="shared" si="0"/>
        <v>2</v>
      </c>
      <c r="H12" s="7">
        <v>0</v>
      </c>
      <c r="I12" s="7"/>
      <c r="J12" s="7"/>
    </row>
    <row r="13" spans="1:10">
      <c r="A13" s="7" t="s">
        <v>226</v>
      </c>
      <c r="B13" s="7" t="s">
        <v>201</v>
      </c>
      <c r="C13" s="10" t="str">
        <f>IF(B13="","",IFERROR(VLOOKUP(B13,Players!$A$4:$B$200,2,FALSE),""))</f>
        <v>Will Nowik</v>
      </c>
      <c r="D13" s="7" t="s">
        <v>36</v>
      </c>
      <c r="E13" s="7">
        <v>2</v>
      </c>
      <c r="F13" s="7">
        <v>2</v>
      </c>
      <c r="G13" s="10">
        <f t="shared" si="0"/>
        <v>4</v>
      </c>
      <c r="H13" s="7">
        <v>2</v>
      </c>
      <c r="I13" s="7"/>
      <c r="J13" s="7"/>
    </row>
    <row r="14" spans="1:10">
      <c r="A14" s="7" t="s">
        <v>230</v>
      </c>
      <c r="B14" s="7" t="s">
        <v>201</v>
      </c>
      <c r="C14" s="10" t="str">
        <f>IF(B14="","",IFERROR(VLOOKUP(B14,Players!$A$4:$B$200,2,FALSE),""))</f>
        <v>Will Nowik</v>
      </c>
      <c r="D14" s="7" t="s">
        <v>36</v>
      </c>
      <c r="E14" s="7">
        <v>1</v>
      </c>
      <c r="F14" s="7">
        <v>1</v>
      </c>
      <c r="G14" s="10">
        <f t="shared" si="0"/>
        <v>2</v>
      </c>
      <c r="H14" s="7">
        <v>0</v>
      </c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262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209</v>
      </c>
      <c r="B3" s="6" t="s">
        <v>111</v>
      </c>
      <c r="C3" s="6" t="s">
        <v>131</v>
      </c>
      <c r="D3" s="6" t="s">
        <v>263</v>
      </c>
      <c r="E3" s="6" t="s">
        <v>264</v>
      </c>
      <c r="F3" s="6" t="s">
        <v>265</v>
      </c>
      <c r="G3" s="6" t="s">
        <v>266</v>
      </c>
      <c r="H3" s="6" t="s">
        <v>267</v>
      </c>
      <c r="I3" s="6" t="s">
        <v>268</v>
      </c>
      <c r="J3" s="6" t="s">
        <v>269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B16" sqref="B16"/>
    </sheetView>
  </sheetViews>
  <sheetFormatPr defaultRowHeight="14.25"/>
  <cols>
    <col min="1" max="1" width="20.375" customWidth="1"/>
  </cols>
  <sheetData>
    <row r="1" spans="1:10" ht="20.25">
      <c r="A1" s="22" t="s">
        <v>270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271</v>
      </c>
      <c r="B3" s="6" t="s">
        <v>272</v>
      </c>
      <c r="C3" s="6" t="s">
        <v>273</v>
      </c>
      <c r="D3" s="6" t="s">
        <v>274</v>
      </c>
      <c r="E3" s="6" t="s">
        <v>275</v>
      </c>
      <c r="F3" s="6" t="s">
        <v>276</v>
      </c>
      <c r="G3" s="6" t="s">
        <v>277</v>
      </c>
      <c r="H3" s="6" t="s">
        <v>278</v>
      </c>
      <c r="I3" s="6" t="s">
        <v>279</v>
      </c>
      <c r="J3" s="6" t="s">
        <v>280</v>
      </c>
    </row>
    <row r="4" spans="1:10">
      <c r="A4" t="s">
        <v>107</v>
      </c>
      <c r="B4">
        <v>5</v>
      </c>
      <c r="C4">
        <v>0</v>
      </c>
      <c r="D4">
        <v>0</v>
      </c>
      <c r="E4">
        <v>0</v>
      </c>
      <c r="F4">
        <v>5</v>
      </c>
      <c r="G4">
        <v>5</v>
      </c>
      <c r="H4">
        <v>46</v>
      </c>
      <c r="I4">
        <f>G4-H4</f>
        <v>-41</v>
      </c>
      <c r="J4">
        <v>0</v>
      </c>
    </row>
    <row r="5" spans="1:10">
      <c r="A5" t="s">
        <v>86</v>
      </c>
      <c r="B5">
        <v>8</v>
      </c>
      <c r="C5">
        <v>4</v>
      </c>
      <c r="D5">
        <v>0</v>
      </c>
      <c r="E5">
        <v>0</v>
      </c>
      <c r="F5">
        <v>4</v>
      </c>
      <c r="G5">
        <v>41</v>
      </c>
      <c r="H5">
        <v>30</v>
      </c>
      <c r="I5">
        <f t="shared" ref="I5:I16" si="0">G5-H5</f>
        <v>11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5</v>
      </c>
      <c r="C8">
        <v>2</v>
      </c>
      <c r="D8">
        <v>1</v>
      </c>
      <c r="E8">
        <v>0</v>
      </c>
      <c r="F8">
        <v>2</v>
      </c>
      <c r="G8">
        <v>25</v>
      </c>
      <c r="H8">
        <v>25</v>
      </c>
      <c r="I8">
        <f t="shared" si="0"/>
        <v>0</v>
      </c>
      <c r="J8">
        <v>8</v>
      </c>
    </row>
    <row r="9" spans="1:10">
      <c r="A9" t="s">
        <v>69</v>
      </c>
      <c r="B9">
        <v>6</v>
      </c>
      <c r="C9">
        <v>4</v>
      </c>
      <c r="D9">
        <v>0</v>
      </c>
      <c r="E9">
        <v>0</v>
      </c>
      <c r="F9">
        <v>2</v>
      </c>
      <c r="G9">
        <v>30</v>
      </c>
      <c r="H9">
        <v>15</v>
      </c>
      <c r="I9">
        <f t="shared" si="0"/>
        <v>15</v>
      </c>
      <c r="J9">
        <v>12</v>
      </c>
    </row>
    <row r="10" spans="1:10">
      <c r="A10" t="s">
        <v>53</v>
      </c>
      <c r="B10">
        <v>7</v>
      </c>
      <c r="C10">
        <v>5</v>
      </c>
      <c r="D10">
        <v>1</v>
      </c>
      <c r="E10">
        <v>0</v>
      </c>
      <c r="F10">
        <v>1</v>
      </c>
      <c r="G10">
        <v>47</v>
      </c>
      <c r="H10">
        <v>22</v>
      </c>
      <c r="I10">
        <f t="shared" si="0"/>
        <v>25</v>
      </c>
      <c r="J10">
        <v>17</v>
      </c>
    </row>
    <row r="11" spans="1:10">
      <c r="A11" t="s">
        <v>102</v>
      </c>
      <c r="B11">
        <v>8</v>
      </c>
      <c r="C11">
        <v>2</v>
      </c>
      <c r="D11">
        <v>1</v>
      </c>
      <c r="E11">
        <v>0</v>
      </c>
      <c r="F11">
        <v>5</v>
      </c>
      <c r="G11">
        <v>27</v>
      </c>
      <c r="H11">
        <v>42</v>
      </c>
      <c r="I11">
        <f t="shared" si="0"/>
        <v>-15</v>
      </c>
      <c r="J11">
        <v>8</v>
      </c>
    </row>
    <row r="12" spans="1:10">
      <c r="A12" t="s">
        <v>31</v>
      </c>
      <c r="B12">
        <v>7</v>
      </c>
      <c r="C12">
        <v>4</v>
      </c>
      <c r="D12">
        <v>0</v>
      </c>
      <c r="E12">
        <v>2</v>
      </c>
      <c r="F12">
        <v>1</v>
      </c>
      <c r="G12">
        <v>32</v>
      </c>
      <c r="H12">
        <v>18</v>
      </c>
      <c r="I12">
        <f t="shared" si="0"/>
        <v>14</v>
      </c>
      <c r="J12">
        <v>14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8</v>
      </c>
      <c r="C15">
        <v>4</v>
      </c>
      <c r="D15">
        <v>0</v>
      </c>
      <c r="E15">
        <v>0</v>
      </c>
      <c r="F15">
        <v>4</v>
      </c>
      <c r="G15">
        <v>41</v>
      </c>
      <c r="H15">
        <v>30</v>
      </c>
      <c r="I15">
        <f t="shared" si="0"/>
        <v>11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B9" sqref="B9"/>
    </sheetView>
  </sheetViews>
  <sheetFormatPr defaultRowHeight="14.25"/>
  <cols>
    <col min="1" max="1" width="20.375" customWidth="1"/>
  </cols>
  <sheetData>
    <row r="1" spans="1:10" ht="20.25">
      <c r="A1" s="22" t="s">
        <v>281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271</v>
      </c>
      <c r="B3" s="6" t="s">
        <v>272</v>
      </c>
      <c r="C3" s="6" t="s">
        <v>273</v>
      </c>
      <c r="D3" s="6" t="s">
        <v>274</v>
      </c>
      <c r="E3" s="6" t="s">
        <v>275</v>
      </c>
      <c r="F3" s="6" t="s">
        <v>276</v>
      </c>
      <c r="G3" s="6" t="s">
        <v>277</v>
      </c>
      <c r="H3" s="6" t="s">
        <v>278</v>
      </c>
      <c r="I3" s="6" t="s">
        <v>279</v>
      </c>
      <c r="J3" s="6" t="s">
        <v>280</v>
      </c>
    </row>
    <row r="4" spans="1:10">
      <c r="A4" t="s">
        <v>86</v>
      </c>
      <c r="B4">
        <v>5</v>
      </c>
      <c r="C4">
        <v>4</v>
      </c>
      <c r="D4">
        <v>0</v>
      </c>
      <c r="E4">
        <v>0</v>
      </c>
      <c r="F4">
        <v>1</v>
      </c>
      <c r="G4">
        <v>31</v>
      </c>
      <c r="H4">
        <v>16</v>
      </c>
      <c r="I4">
        <f>G4-H4</f>
        <v>15</v>
      </c>
      <c r="J4">
        <v>12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6</v>
      </c>
      <c r="C7">
        <v>1</v>
      </c>
      <c r="D7">
        <v>1</v>
      </c>
      <c r="E7">
        <v>0</v>
      </c>
      <c r="F7">
        <v>4</v>
      </c>
      <c r="G7">
        <v>19</v>
      </c>
      <c r="H7">
        <v>34</v>
      </c>
      <c r="I7">
        <f t="shared" si="0"/>
        <v>-15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8" zoomScaleNormal="100" zoomScaleSheetLayoutView="100" workbookViewId="0">
      <selection activeCell="L18" sqref="L1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282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283</v>
      </c>
      <c r="M2" s="6" t="s">
        <v>284</v>
      </c>
    </row>
    <row r="3" spans="1:13" ht="30">
      <c r="A3" s="1" t="s">
        <v>111</v>
      </c>
      <c r="B3" s="1" t="s">
        <v>285</v>
      </c>
      <c r="C3" s="1" t="s">
        <v>286</v>
      </c>
      <c r="D3" s="1" t="s">
        <v>287</v>
      </c>
      <c r="E3" s="1" t="s">
        <v>272</v>
      </c>
      <c r="F3" s="1" t="s">
        <v>288</v>
      </c>
      <c r="G3" s="1" t="s">
        <v>222</v>
      </c>
      <c r="H3" s="1" t="s">
        <v>280</v>
      </c>
      <c r="I3" s="1" t="s">
        <v>260</v>
      </c>
      <c r="J3" s="1" t="s">
        <v>261</v>
      </c>
      <c r="K3" s="13"/>
      <c r="L3" s="12" t="s">
        <v>289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290</v>
      </c>
      <c r="M4" s="12">
        <f>SUM(Games!$G$4:$G$200)</f>
        <v>49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291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292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293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1</v>
      </c>
      <c r="G8" s="12">
        <f>IF(A8="","",SUMIFS('Player Game Stats'!$F$4:$F$500,'Player Game Stats'!$B$4:$B$500,A8))</f>
        <v>1</v>
      </c>
      <c r="H8" s="12">
        <f t="shared" si="0"/>
        <v>2</v>
      </c>
      <c r="I8" s="12">
        <f>IF(A8="","",SUMIFS('Player Game Stats'!$H$4:$H$500,'Player Game Stats'!$B$4:$B$500,A8))</f>
        <v>5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7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1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2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1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2</v>
      </c>
      <c r="H16" s="14">
        <f t="shared" si="0"/>
        <v>2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1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1</v>
      </c>
      <c r="H17" s="14">
        <f t="shared" si="0"/>
        <v>1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1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2</v>
      </c>
      <c r="H20" s="14">
        <f t="shared" si="0"/>
        <v>2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1</v>
      </c>
      <c r="F29" s="14">
        <f>IF(A29="","",SUMIFS('Player Game Stats'!$E$4:$E$500,'Player Game Stats'!$B$4:$B$500,A29))</f>
        <v>1</v>
      </c>
      <c r="G29" s="14">
        <f>IF(A29="","",SUMIFS('Player Game Stats'!$F$4:$F$500,'Player Game Stats'!$B$4:$B$500,A29))</f>
        <v>1</v>
      </c>
      <c r="H29" s="14">
        <f t="shared" si="0"/>
        <v>2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2</v>
      </c>
      <c r="F31" s="14">
        <f>IF(A31="","",SUMIFS('Player Game Stats'!$E$4:$E$500,'Player Game Stats'!$B$4:$B$500,A31))</f>
        <v>3</v>
      </c>
      <c r="G31" s="14">
        <f>IF(A31="","",SUMIFS('Player Game Stats'!$F$4:$F$500,'Player Game Stats'!$B$4:$B$500,A31))</f>
        <v>3</v>
      </c>
      <c r="H31" s="14">
        <f t="shared" si="0"/>
        <v>6</v>
      </c>
      <c r="I31" s="14">
        <f>IF(A31="","",SUMIFS('Player Game Stats'!$H$4:$H$500,'Player Game Stats'!$B$4:$B$500,A31))</f>
        <v>2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1</v>
      </c>
      <c r="F33" s="14">
        <f>IF(A33="","",SUMIFS('Player Game Stats'!$E$4:$E$500,'Player Game Stats'!$B$4:$B$500,A33))</f>
        <v>1</v>
      </c>
      <c r="G33" s="14">
        <f>IF(A33="","",SUMIFS('Player Game Stats'!$F$4:$F$500,'Player Game Stats'!$B$4:$B$500,A33))</f>
        <v>0</v>
      </c>
      <c r="H33" s="14">
        <f t="shared" si="0"/>
        <v>1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2026-10-15T13:07:11Z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