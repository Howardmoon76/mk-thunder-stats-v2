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4998DDD0-F0E7-4E2A-84E8-E9E9967E6E63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<sst xmlns="http://schemas.openxmlformats.org/spreadsheetml/2006/main" count="168" uniqueCount="127">
  <si>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</si>
  <si>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</si>
  <si>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</si>
  <si>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</si>
  <si>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</si>
  <si>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</si>
  <si>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</si>
  <si>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</si>
  <si>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</si>
  <si>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</si>
  <si>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</si>
  <si>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</si>
  <si>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</si>
  <si>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</si>
  <si>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</si>
  <si>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</si>
  <si>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</si>
  <si>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</si>
  <si>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</si>
  <si>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</si>
  <si>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</si>
  <si>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</si>
  <si>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</si>
  <si>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</si>
  <si>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</si>
  <si>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</si>
  <si>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</si>
  <si>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</si>
  <si>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</si>
  <si>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</si>
  <si>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</si>
  <si>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</si>
  <si>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</si>
  <si>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</si>
  <si>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</si>
  <si>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</si>
  <si>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</si>
  <si>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</si>
  <si>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</si>
  <si>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</si>
  <si>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</si>
  <si>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</si>
  <si>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</si>
  <si>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</si>
  <si>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</si>
  <si>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</si>
  <si>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</si>
  <si>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</si>
  <si>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</si>
  <si>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</si>
  <si>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</si>
  <si>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</si>
  <si>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</si>
  <si>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</si>
  <si>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</si>
  <si>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</si>
  <si>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</si>
  <si>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</si>
  <si>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</si>
  <si>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</si>
  <si>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</si>
  <si>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</si>
  <si>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</si>
  <si>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</si>
  <si>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</si>
  <si>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</si>
  <si>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</si>
  <si>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</si>
  <si>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</si>
  <si>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</si>
  <si>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</si>
  <si>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</si>
  <si>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</si>
  <si>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</si>
  <si>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</si>
  <si>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</si>
  <si>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</si>
  <si>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</si>
  <si>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</si>
  <si>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</si>
  <si>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</si>
  <si>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</si>
  <si>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</si>
  <si>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</si>
  <si>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</si>
  <si>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</si>
  <si>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</si>
  <si>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</si>
  <si>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</si>
  <si>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</si>
  <si>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</si>
  <si>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</si>
  <si>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</si>
  <si>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</si>
  <si>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</si>
  <si>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</si>
  <si>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</si>
  <si>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</si>
  <si>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</si>
  <si>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</si>
  <si>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</si>
  <si>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</si>
  <si>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</si>
  <si>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</si>
  <si>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</si>
  <si>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</si>
  <si>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</si>
  <si>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</si>
  <si>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</si>
  <si>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</si>
  <si>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</si>
  <si>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</si>
  <si>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</si>
  <si>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</si>
  <si>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</si>
  <si>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</si>
  <si>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</si>
  <si>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</si>
  <si>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</si>
  <si>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</si>
  <si>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</si>
  <si>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guilford.png</t>
  </si>
  <si>
    <t>Guildford Phoenix</t>
  </si>
  <si>
    <t>Guildford</t>
  </si>
  <si>
    <t>Guildford Spectrum</t>
  </si>
  <si>
    <t>G004</t>
  </si>
  <si>
    <t>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</si>
</sst>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8" sqref="E8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30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>
      <c r="A7" s="2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49</v>
      </c>
      <c r="G7" s="2"/>
      <c r="H7" s="2" t="s">
        <v>35</v>
      </c>
    </row>
    <row r="8" spans="1:8">
      <c r="A8" s="2" t="s">
        <v>120</v>
      </c>
      <c r="B8" s="2" t="s">
        <v>122</v>
      </c>
      <c r="C8" s="2" t="s">
        <v>123</v>
      </c>
      <c r="D8" s="2" t="s">
        <v>121</v>
      </c>
      <c r="E8" s="2" t="s">
        <v>124</v>
      </c>
      <c r="F8" s="2" t="s">
        <v>123</v>
      </c>
      <c r="G8" s="2"/>
      <c r="H8" s="2" t="s">
        <v>35</v>
      </c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52</v>
      </c>
      <c r="B3" s="1" t="s">
        <v>53</v>
      </c>
      <c r="C3" s="1" t="s">
        <v>54</v>
      </c>
      <c r="D3" s="1" t="s">
        <v>55</v>
      </c>
      <c r="E3" s="1" t="s">
        <v>28</v>
      </c>
      <c r="F3" s="1" t="s">
        <v>56</v>
      </c>
      <c r="G3" s="1" t="s">
        <v>57</v>
      </c>
    </row>
    <row r="4" spans="1:7">
      <c r="A4" s="2" t="s">
        <v>58</v>
      </c>
      <c r="B4" s="2" t="s">
        <v>59</v>
      </c>
      <c r="C4" s="2">
        <v>9</v>
      </c>
      <c r="D4" s="2" t="s">
        <v>60</v>
      </c>
      <c r="E4" s="2" t="s">
        <v>35</v>
      </c>
      <c r="F4" s="2"/>
      <c r="G4" s="2"/>
    </row>
    <row r="5" spans="1:7">
      <c r="A5" s="2" t="s">
        <v>61</v>
      </c>
      <c r="B5" s="2" t="s">
        <v>62</v>
      </c>
      <c r="C5" s="2">
        <v>97</v>
      </c>
      <c r="D5" s="2" t="s">
        <v>60</v>
      </c>
      <c r="E5" s="2" t="s">
        <v>35</v>
      </c>
      <c r="F5" s="2"/>
      <c r="G5" s="2"/>
    </row>
    <row r="6" spans="1:7">
      <c r="A6" s="2" t="s">
        <v>63</v>
      </c>
      <c r="B6" s="2" t="s">
        <v>64</v>
      </c>
      <c r="C6" s="2">
        <v>74</v>
      </c>
      <c r="D6" s="2" t="s">
        <v>65</v>
      </c>
      <c r="E6" s="2" t="s">
        <v>35</v>
      </c>
      <c r="F6" s="2"/>
      <c r="G6" s="2" t="s">
        <v>66</v>
      </c>
    </row>
    <row r="7" spans="1:7">
      <c r="A7" s="2" t="s">
        <v>67</v>
      </c>
      <c r="B7" s="2" t="s">
        <v>68</v>
      </c>
      <c r="C7" s="2">
        <v>29</v>
      </c>
      <c r="D7" s="2" t="s">
        <v>69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L8" sqref="L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70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  <c r="K3" s="1" t="s">
        <v>80</v>
      </c>
      <c r="L3" s="1" t="s">
        <v>81</v>
      </c>
      <c r="M3" s="1" t="s">
        <v>57</v>
      </c>
    </row>
    <row r="4" spans="1:13">
      <c r="A4" s="2" t="s">
        <v>82</v>
      </c>
      <c r="B4" s="7">
        <v>46264</v>
      </c>
      <c r="C4" s="6">
        <v>0.71875</v>
      </c>
      <c r="D4" s="2" t="s">
        <v>36</v>
      </c>
      <c r="E4" s="2" t="s">
        <v>83</v>
      </c>
      <c r="F4" s="2" t="s">
        <v>84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85</v>
      </c>
      <c r="M4" s="2"/>
    </row>
    <row r="5" spans="1:13">
      <c r="A5" s="2" t="s">
        <v>86</v>
      </c>
      <c r="B5" s="7">
        <v>46270</v>
      </c>
      <c r="C5" s="6">
        <v>0.76041666666666663</v>
      </c>
      <c r="D5" s="2" t="s">
        <v>41</v>
      </c>
      <c r="E5" s="2" t="s">
        <v>83</v>
      </c>
      <c r="F5" s="2" t="s">
        <v>84</v>
      </c>
      <c r="G5" s="2"/>
      <c r="H5" s="2"/>
      <c r="I5" s="3" t="str">
        <f t="shared" si="0"/>
        <v/>
      </c>
      <c r="J5" s="2"/>
      <c r="K5" s="2" t="s">
        <v>45</v>
      </c>
      <c r="L5" s="2" t="s">
        <v>85</v>
      </c>
      <c r="M5" s="2"/>
    </row>
    <row r="6" spans="1:13">
      <c r="A6" s="2" t="s">
        <v>87</v>
      </c>
      <c r="B6" s="7">
        <v>46278</v>
      </c>
      <c r="C6" s="6">
        <v>0.77083333333333337</v>
      </c>
      <c r="D6" s="2" t="s">
        <v>47</v>
      </c>
      <c r="E6" s="2" t="s">
        <v>88</v>
      </c>
      <c r="F6" s="2" t="s">
        <v>89</v>
      </c>
      <c r="G6" s="2"/>
      <c r="H6" s="2"/>
      <c r="I6" s="3" t="str">
        <f t="shared" si="0"/>
        <v/>
      </c>
      <c r="J6" s="2"/>
      <c r="K6" s="2" t="s">
        <v>51</v>
      </c>
      <c r="L6" s="2" t="s">
        <v>85</v>
      </c>
      <c r="M6" s="2"/>
    </row>
    <row r="7" spans="1:13">
      <c r="A7" s="2" t="s">
        <v>125</v>
      </c>
      <c r="B7" s="7">
        <v>46284</v>
      </c>
      <c r="C7" s="6">
        <v>0.8125</v>
      </c>
      <c r="D7" s="2" t="s">
        <v>120</v>
      </c>
      <c r="E7" s="2" t="s">
        <v>126</v>
      </c>
      <c r="F7" s="2" t="s">
        <v>89</v>
      </c>
      <c r="G7" s="2"/>
      <c r="H7" s="2"/>
      <c r="I7" s="3" t="str">
        <f t="shared" si="0"/>
        <v/>
      </c>
      <c r="J7" s="2"/>
      <c r="K7" s="2" t="s">
        <v>124</v>
      </c>
      <c r="L7" s="2" t="s">
        <v>85</v>
      </c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 t="shared" si="0"/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 t="shared" si="0"/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 t="shared" si="0"/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27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90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70</v>
      </c>
      <c r="B3" s="1" t="s">
        <v>52</v>
      </c>
      <c r="C3" s="1" t="s">
        <v>91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57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15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70</v>
      </c>
      <c r="B3" s="1" t="s">
        <v>52</v>
      </c>
      <c r="C3" s="1" t="s">
        <v>69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57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27" si="12">IF(E196="","",E196-F196)</f>
        <v/>
      </c>
      <c r="H196" s="5" t="str">
        <f t="shared" ref="H196:H227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106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107</v>
      </c>
      <c r="M2" s="1" t="s">
        <v>108</v>
      </c>
    </row>
    <row r="3" spans="1:13" ht="45">
      <c r="A3" s="1" t="s">
        <v>52</v>
      </c>
      <c r="B3" s="1" t="s">
        <v>109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83</v>
      </c>
      <c r="H3" s="1" t="s">
        <v>114</v>
      </c>
      <c r="I3" s="1" t="s">
        <v>96</v>
      </c>
      <c r="J3" s="1" t="s">
        <v>97</v>
      </c>
      <c r="L3" t="s">
        <v>115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116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117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118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119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31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2026-08-10T10:52:59Z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