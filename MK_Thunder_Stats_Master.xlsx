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mark_ward_rockwellautomation_com/Documents/Desktop/Files/other/"/>
    </mc:Choice>
  </mc:AlternateContent>
  <xr:revisionPtr revIDLastSave="300" documentId="13_ncr:1_{3A096520-12A4-43F2-9693-BC14297102B2}" xr6:coauthVersionLast="47" xr6:coauthVersionMax="47" xr10:uidLastSave="{6B27F902-F45C-4895-9C96-6AE26E6C7B0C}"/>
  <bookViews>
    <workbookView xWindow="28680" yWindow="-120" windowWidth="29040" windowHeight="15720" activeTab="4" xr2:uid="{00000000-000D-0000-FFFF-FFFF00000000}"/>
  </bookViews>
  <sheets>
    <sheet name="Start Here" sheetId="1" r:id="rId1"/>
    <sheet name="Teams" sheetId="7" r:id="rId2"/>
    <sheet name="Players" sheetId="2" r:id="rId3"/>
    <sheet name="Games" sheetId="3" r:id="rId4"/>
    <sheet name="Player Game Stats" sheetId="4" r:id="rId5"/>
    <sheet name="Netminder Stats" sheetId="5" r:id="rId6"/>
    <sheet name="League Table" sheetId="8" r:id="rId7"/>
    <sheet name="Cup Table" sheetId="10" r:id="rId8"/>
    <sheet name="Dashboard" sheetId="6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6" l="1"/>
  <c r="I5" i="10"/>
  <c r="I6" i="10"/>
  <c r="I7" i="10"/>
  <c r="I8" i="10"/>
  <c r="I9" i="10"/>
  <c r="I4" i="10"/>
  <c r="I5" i="8"/>
  <c r="I6" i="8"/>
  <c r="I7" i="8"/>
  <c r="I8" i="8"/>
  <c r="I9" i="8"/>
  <c r="I10" i="8"/>
  <c r="I11" i="8"/>
  <c r="I12" i="8"/>
  <c r="I13" i="8"/>
  <c r="I14" i="8"/>
  <c r="I15" i="8"/>
  <c r="I16" i="8"/>
  <c r="I4" i="8"/>
  <c r="C4" i="5" l="1"/>
  <c r="C5" i="5"/>
  <c r="G4" i="4"/>
  <c r="G5" i="4"/>
  <c r="C4" i="4"/>
  <c r="C5" i="4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M5" i="6"/>
  <c r="A5" i="6"/>
  <c r="A4" i="6"/>
  <c r="M3" i="6"/>
  <c r="H200" i="5"/>
  <c r="G200" i="5"/>
  <c r="C200" i="5"/>
  <c r="H199" i="5"/>
  <c r="G199" i="5"/>
  <c r="C199" i="5"/>
  <c r="H198" i="5"/>
  <c r="G198" i="5"/>
  <c r="C198" i="5"/>
  <c r="H197" i="5"/>
  <c r="G197" i="5"/>
  <c r="C197" i="5"/>
  <c r="H196" i="5"/>
  <c r="G196" i="5"/>
  <c r="C196" i="5"/>
  <c r="H195" i="5"/>
  <c r="G195" i="5"/>
  <c r="C195" i="5"/>
  <c r="H194" i="5"/>
  <c r="G194" i="5"/>
  <c r="C194" i="5"/>
  <c r="H193" i="5"/>
  <c r="G193" i="5"/>
  <c r="C193" i="5"/>
  <c r="H192" i="5"/>
  <c r="G192" i="5"/>
  <c r="C192" i="5"/>
  <c r="H191" i="5"/>
  <c r="G191" i="5"/>
  <c r="C191" i="5"/>
  <c r="H190" i="5"/>
  <c r="G190" i="5"/>
  <c r="C190" i="5"/>
  <c r="H189" i="5"/>
  <c r="G189" i="5"/>
  <c r="C189" i="5"/>
  <c r="H188" i="5"/>
  <c r="G188" i="5"/>
  <c r="C188" i="5"/>
  <c r="H187" i="5"/>
  <c r="G187" i="5"/>
  <c r="C187" i="5"/>
  <c r="H186" i="5"/>
  <c r="G186" i="5"/>
  <c r="C186" i="5"/>
  <c r="H185" i="5"/>
  <c r="G185" i="5"/>
  <c r="C185" i="5"/>
  <c r="H184" i="5"/>
  <c r="G184" i="5"/>
  <c r="C184" i="5"/>
  <c r="H183" i="5"/>
  <c r="G183" i="5"/>
  <c r="C183" i="5"/>
  <c r="H182" i="5"/>
  <c r="G182" i="5"/>
  <c r="C182" i="5"/>
  <c r="H181" i="5"/>
  <c r="G181" i="5"/>
  <c r="C181" i="5"/>
  <c r="H180" i="5"/>
  <c r="G180" i="5"/>
  <c r="C180" i="5"/>
  <c r="H179" i="5"/>
  <c r="G179" i="5"/>
  <c r="C179" i="5"/>
  <c r="H178" i="5"/>
  <c r="G178" i="5"/>
  <c r="C178" i="5"/>
  <c r="H177" i="5"/>
  <c r="G177" i="5"/>
  <c r="C177" i="5"/>
  <c r="H176" i="5"/>
  <c r="G176" i="5"/>
  <c r="C176" i="5"/>
  <c r="H175" i="5"/>
  <c r="G175" i="5"/>
  <c r="C175" i="5"/>
  <c r="H174" i="5"/>
  <c r="G174" i="5"/>
  <c r="C174" i="5"/>
  <c r="H173" i="5"/>
  <c r="G173" i="5"/>
  <c r="C173" i="5"/>
  <c r="H172" i="5"/>
  <c r="G172" i="5"/>
  <c r="C172" i="5"/>
  <c r="H171" i="5"/>
  <c r="G171" i="5"/>
  <c r="C171" i="5"/>
  <c r="H170" i="5"/>
  <c r="G170" i="5"/>
  <c r="C170" i="5"/>
  <c r="H169" i="5"/>
  <c r="G169" i="5"/>
  <c r="C169" i="5"/>
  <c r="H168" i="5"/>
  <c r="G168" i="5"/>
  <c r="C168" i="5"/>
  <c r="H167" i="5"/>
  <c r="G167" i="5"/>
  <c r="C167" i="5"/>
  <c r="H166" i="5"/>
  <c r="G166" i="5"/>
  <c r="C166" i="5"/>
  <c r="H165" i="5"/>
  <c r="G165" i="5"/>
  <c r="C165" i="5"/>
  <c r="H164" i="5"/>
  <c r="G164" i="5"/>
  <c r="C164" i="5"/>
  <c r="H163" i="5"/>
  <c r="G163" i="5"/>
  <c r="C163" i="5"/>
  <c r="H162" i="5"/>
  <c r="G162" i="5"/>
  <c r="C162" i="5"/>
  <c r="H161" i="5"/>
  <c r="G161" i="5"/>
  <c r="C161" i="5"/>
  <c r="H160" i="5"/>
  <c r="G160" i="5"/>
  <c r="C160" i="5"/>
  <c r="H159" i="5"/>
  <c r="G159" i="5"/>
  <c r="C159" i="5"/>
  <c r="H158" i="5"/>
  <c r="G158" i="5"/>
  <c r="C158" i="5"/>
  <c r="H157" i="5"/>
  <c r="G157" i="5"/>
  <c r="C157" i="5"/>
  <c r="H156" i="5"/>
  <c r="G156" i="5"/>
  <c r="C156" i="5"/>
  <c r="H155" i="5"/>
  <c r="G155" i="5"/>
  <c r="C155" i="5"/>
  <c r="H154" i="5"/>
  <c r="G154" i="5"/>
  <c r="C154" i="5"/>
  <c r="H153" i="5"/>
  <c r="G153" i="5"/>
  <c r="C153" i="5"/>
  <c r="H152" i="5"/>
  <c r="G152" i="5"/>
  <c r="C152" i="5"/>
  <c r="H151" i="5"/>
  <c r="G151" i="5"/>
  <c r="C151" i="5"/>
  <c r="H150" i="5"/>
  <c r="G150" i="5"/>
  <c r="C150" i="5"/>
  <c r="H149" i="5"/>
  <c r="G149" i="5"/>
  <c r="C149" i="5"/>
  <c r="H148" i="5"/>
  <c r="G148" i="5"/>
  <c r="C148" i="5"/>
  <c r="H147" i="5"/>
  <c r="G147" i="5"/>
  <c r="C147" i="5"/>
  <c r="H146" i="5"/>
  <c r="G146" i="5"/>
  <c r="C146" i="5"/>
  <c r="H145" i="5"/>
  <c r="G145" i="5"/>
  <c r="C145" i="5"/>
  <c r="H144" i="5"/>
  <c r="G144" i="5"/>
  <c r="C144" i="5"/>
  <c r="H143" i="5"/>
  <c r="G143" i="5"/>
  <c r="C143" i="5"/>
  <c r="H142" i="5"/>
  <c r="G142" i="5"/>
  <c r="C142" i="5"/>
  <c r="H141" i="5"/>
  <c r="G141" i="5"/>
  <c r="C141" i="5"/>
  <c r="H140" i="5"/>
  <c r="G140" i="5"/>
  <c r="C140" i="5"/>
  <c r="H139" i="5"/>
  <c r="G139" i="5"/>
  <c r="C139" i="5"/>
  <c r="H138" i="5"/>
  <c r="G138" i="5"/>
  <c r="C138" i="5"/>
  <c r="H137" i="5"/>
  <c r="G137" i="5"/>
  <c r="C137" i="5"/>
  <c r="H136" i="5"/>
  <c r="G136" i="5"/>
  <c r="C136" i="5"/>
  <c r="H135" i="5"/>
  <c r="G135" i="5"/>
  <c r="C135" i="5"/>
  <c r="H134" i="5"/>
  <c r="G134" i="5"/>
  <c r="C134" i="5"/>
  <c r="H133" i="5"/>
  <c r="G133" i="5"/>
  <c r="C133" i="5"/>
  <c r="H132" i="5"/>
  <c r="G132" i="5"/>
  <c r="C132" i="5"/>
  <c r="H131" i="5"/>
  <c r="G131" i="5"/>
  <c r="C131" i="5"/>
  <c r="H130" i="5"/>
  <c r="G130" i="5"/>
  <c r="C130" i="5"/>
  <c r="H129" i="5"/>
  <c r="G129" i="5"/>
  <c r="C129" i="5"/>
  <c r="H128" i="5"/>
  <c r="G128" i="5"/>
  <c r="C128" i="5"/>
  <c r="H127" i="5"/>
  <c r="G127" i="5"/>
  <c r="C127" i="5"/>
  <c r="H126" i="5"/>
  <c r="G126" i="5"/>
  <c r="C126" i="5"/>
  <c r="H125" i="5"/>
  <c r="G125" i="5"/>
  <c r="C125" i="5"/>
  <c r="H124" i="5"/>
  <c r="G124" i="5"/>
  <c r="C124" i="5"/>
  <c r="H123" i="5"/>
  <c r="G123" i="5"/>
  <c r="C123" i="5"/>
  <c r="H122" i="5"/>
  <c r="G122" i="5"/>
  <c r="C122" i="5"/>
  <c r="H121" i="5"/>
  <c r="G121" i="5"/>
  <c r="C121" i="5"/>
  <c r="H120" i="5"/>
  <c r="G120" i="5"/>
  <c r="C120" i="5"/>
  <c r="H119" i="5"/>
  <c r="G119" i="5"/>
  <c r="C119" i="5"/>
  <c r="H118" i="5"/>
  <c r="G118" i="5"/>
  <c r="C118" i="5"/>
  <c r="H117" i="5"/>
  <c r="G117" i="5"/>
  <c r="C117" i="5"/>
  <c r="H116" i="5"/>
  <c r="G116" i="5"/>
  <c r="C116" i="5"/>
  <c r="H115" i="5"/>
  <c r="G115" i="5"/>
  <c r="C115" i="5"/>
  <c r="H114" i="5"/>
  <c r="G114" i="5"/>
  <c r="C114" i="5"/>
  <c r="H113" i="5"/>
  <c r="G113" i="5"/>
  <c r="C113" i="5"/>
  <c r="H112" i="5"/>
  <c r="G112" i="5"/>
  <c r="C112" i="5"/>
  <c r="H111" i="5"/>
  <c r="G111" i="5"/>
  <c r="C111" i="5"/>
  <c r="H110" i="5"/>
  <c r="G110" i="5"/>
  <c r="C110" i="5"/>
  <c r="H109" i="5"/>
  <c r="G109" i="5"/>
  <c r="C109" i="5"/>
  <c r="H108" i="5"/>
  <c r="G108" i="5"/>
  <c r="C108" i="5"/>
  <c r="H107" i="5"/>
  <c r="G107" i="5"/>
  <c r="C107" i="5"/>
  <c r="H106" i="5"/>
  <c r="G106" i="5"/>
  <c r="C106" i="5"/>
  <c r="H105" i="5"/>
  <c r="G105" i="5"/>
  <c r="C105" i="5"/>
  <c r="H104" i="5"/>
  <c r="G104" i="5"/>
  <c r="C104" i="5"/>
  <c r="H103" i="5"/>
  <c r="G103" i="5"/>
  <c r="C103" i="5"/>
  <c r="H102" i="5"/>
  <c r="G102" i="5"/>
  <c r="C102" i="5"/>
  <c r="H101" i="5"/>
  <c r="G101" i="5"/>
  <c r="C101" i="5"/>
  <c r="H100" i="5"/>
  <c r="G100" i="5"/>
  <c r="C100" i="5"/>
  <c r="H99" i="5"/>
  <c r="G99" i="5"/>
  <c r="C99" i="5"/>
  <c r="H98" i="5"/>
  <c r="G98" i="5"/>
  <c r="C98" i="5"/>
  <c r="H97" i="5"/>
  <c r="G97" i="5"/>
  <c r="C97" i="5"/>
  <c r="H96" i="5"/>
  <c r="G96" i="5"/>
  <c r="C96" i="5"/>
  <c r="H95" i="5"/>
  <c r="G95" i="5"/>
  <c r="C95" i="5"/>
  <c r="H94" i="5"/>
  <c r="G94" i="5"/>
  <c r="C94" i="5"/>
  <c r="H93" i="5"/>
  <c r="G93" i="5"/>
  <c r="C93" i="5"/>
  <c r="H92" i="5"/>
  <c r="G92" i="5"/>
  <c r="C92" i="5"/>
  <c r="H91" i="5"/>
  <c r="G91" i="5"/>
  <c r="C91" i="5"/>
  <c r="H90" i="5"/>
  <c r="G90" i="5"/>
  <c r="C90" i="5"/>
  <c r="H89" i="5"/>
  <c r="G89" i="5"/>
  <c r="C89" i="5"/>
  <c r="H88" i="5"/>
  <c r="G88" i="5"/>
  <c r="C88" i="5"/>
  <c r="H87" i="5"/>
  <c r="G87" i="5"/>
  <c r="C87" i="5"/>
  <c r="H86" i="5"/>
  <c r="G86" i="5"/>
  <c r="C86" i="5"/>
  <c r="H85" i="5"/>
  <c r="G85" i="5"/>
  <c r="C85" i="5"/>
  <c r="H84" i="5"/>
  <c r="G84" i="5"/>
  <c r="C84" i="5"/>
  <c r="H83" i="5"/>
  <c r="G83" i="5"/>
  <c r="C83" i="5"/>
  <c r="H82" i="5"/>
  <c r="G82" i="5"/>
  <c r="C82" i="5"/>
  <c r="H81" i="5"/>
  <c r="G81" i="5"/>
  <c r="C81" i="5"/>
  <c r="H80" i="5"/>
  <c r="G80" i="5"/>
  <c r="C80" i="5"/>
  <c r="H79" i="5"/>
  <c r="G79" i="5"/>
  <c r="C79" i="5"/>
  <c r="H78" i="5"/>
  <c r="G78" i="5"/>
  <c r="C78" i="5"/>
  <c r="H77" i="5"/>
  <c r="G77" i="5"/>
  <c r="C77" i="5"/>
  <c r="H76" i="5"/>
  <c r="G76" i="5"/>
  <c r="C76" i="5"/>
  <c r="H75" i="5"/>
  <c r="G75" i="5"/>
  <c r="C75" i="5"/>
  <c r="H74" i="5"/>
  <c r="G74" i="5"/>
  <c r="C74" i="5"/>
  <c r="H73" i="5"/>
  <c r="G73" i="5"/>
  <c r="C73" i="5"/>
  <c r="H72" i="5"/>
  <c r="G72" i="5"/>
  <c r="C72" i="5"/>
  <c r="H71" i="5"/>
  <c r="G71" i="5"/>
  <c r="C71" i="5"/>
  <c r="H70" i="5"/>
  <c r="G70" i="5"/>
  <c r="C70" i="5"/>
  <c r="H69" i="5"/>
  <c r="G69" i="5"/>
  <c r="C69" i="5"/>
  <c r="H68" i="5"/>
  <c r="G68" i="5"/>
  <c r="C68" i="5"/>
  <c r="H67" i="5"/>
  <c r="G67" i="5"/>
  <c r="C67" i="5"/>
  <c r="H66" i="5"/>
  <c r="G66" i="5"/>
  <c r="C66" i="5"/>
  <c r="H65" i="5"/>
  <c r="G65" i="5"/>
  <c r="C65" i="5"/>
  <c r="H64" i="5"/>
  <c r="G64" i="5"/>
  <c r="C64" i="5"/>
  <c r="H63" i="5"/>
  <c r="G63" i="5"/>
  <c r="C63" i="5"/>
  <c r="H62" i="5"/>
  <c r="G62" i="5"/>
  <c r="C62" i="5"/>
  <c r="H61" i="5"/>
  <c r="G61" i="5"/>
  <c r="C61" i="5"/>
  <c r="H60" i="5"/>
  <c r="G60" i="5"/>
  <c r="C60" i="5"/>
  <c r="H59" i="5"/>
  <c r="G59" i="5"/>
  <c r="C59" i="5"/>
  <c r="H58" i="5"/>
  <c r="G58" i="5"/>
  <c r="C58" i="5"/>
  <c r="H57" i="5"/>
  <c r="G57" i="5"/>
  <c r="C57" i="5"/>
  <c r="H56" i="5"/>
  <c r="G56" i="5"/>
  <c r="C56" i="5"/>
  <c r="H55" i="5"/>
  <c r="G55" i="5"/>
  <c r="C55" i="5"/>
  <c r="H54" i="5"/>
  <c r="G54" i="5"/>
  <c r="C54" i="5"/>
  <c r="H53" i="5"/>
  <c r="G53" i="5"/>
  <c r="C53" i="5"/>
  <c r="H52" i="5"/>
  <c r="G52" i="5"/>
  <c r="C52" i="5"/>
  <c r="H51" i="5"/>
  <c r="G51" i="5"/>
  <c r="C51" i="5"/>
  <c r="H50" i="5"/>
  <c r="G50" i="5"/>
  <c r="C50" i="5"/>
  <c r="H49" i="5"/>
  <c r="G49" i="5"/>
  <c r="C49" i="5"/>
  <c r="H48" i="5"/>
  <c r="G48" i="5"/>
  <c r="C48" i="5"/>
  <c r="H47" i="5"/>
  <c r="G47" i="5"/>
  <c r="C47" i="5"/>
  <c r="H46" i="5"/>
  <c r="G46" i="5"/>
  <c r="C46" i="5"/>
  <c r="H45" i="5"/>
  <c r="G45" i="5"/>
  <c r="C45" i="5"/>
  <c r="H44" i="5"/>
  <c r="G44" i="5"/>
  <c r="C44" i="5"/>
  <c r="H43" i="5"/>
  <c r="G43" i="5"/>
  <c r="C43" i="5"/>
  <c r="H42" i="5"/>
  <c r="G42" i="5"/>
  <c r="C42" i="5"/>
  <c r="H41" i="5"/>
  <c r="G41" i="5"/>
  <c r="C41" i="5"/>
  <c r="H40" i="5"/>
  <c r="G40" i="5"/>
  <c r="C40" i="5"/>
  <c r="H39" i="5"/>
  <c r="G39" i="5"/>
  <c r="C39" i="5"/>
  <c r="H38" i="5"/>
  <c r="G38" i="5"/>
  <c r="C38" i="5"/>
  <c r="H37" i="5"/>
  <c r="G37" i="5"/>
  <c r="C37" i="5"/>
  <c r="H36" i="5"/>
  <c r="G36" i="5"/>
  <c r="C36" i="5"/>
  <c r="H35" i="5"/>
  <c r="G35" i="5"/>
  <c r="C35" i="5"/>
  <c r="H34" i="5"/>
  <c r="G34" i="5"/>
  <c r="C34" i="5"/>
  <c r="H33" i="5"/>
  <c r="G33" i="5"/>
  <c r="C33" i="5"/>
  <c r="H32" i="5"/>
  <c r="G32" i="5"/>
  <c r="C32" i="5"/>
  <c r="H31" i="5"/>
  <c r="G31" i="5"/>
  <c r="C31" i="5"/>
  <c r="H30" i="5"/>
  <c r="G30" i="5"/>
  <c r="C30" i="5"/>
  <c r="H29" i="5"/>
  <c r="G29" i="5"/>
  <c r="C29" i="5"/>
  <c r="H28" i="5"/>
  <c r="G28" i="5"/>
  <c r="C28" i="5"/>
  <c r="H27" i="5"/>
  <c r="G27" i="5"/>
  <c r="C27" i="5"/>
  <c r="H26" i="5"/>
  <c r="G26" i="5"/>
  <c r="C26" i="5"/>
  <c r="H25" i="5"/>
  <c r="G25" i="5"/>
  <c r="C25" i="5"/>
  <c r="H24" i="5"/>
  <c r="G24" i="5"/>
  <c r="C24" i="5"/>
  <c r="H23" i="5"/>
  <c r="G23" i="5"/>
  <c r="C23" i="5"/>
  <c r="H22" i="5"/>
  <c r="G22" i="5"/>
  <c r="C22" i="5"/>
  <c r="H21" i="5"/>
  <c r="G21" i="5"/>
  <c r="C21" i="5"/>
  <c r="H20" i="5"/>
  <c r="G20" i="5"/>
  <c r="C20" i="5"/>
  <c r="H19" i="5"/>
  <c r="G19" i="5"/>
  <c r="C19" i="5"/>
  <c r="H18" i="5"/>
  <c r="G18" i="5"/>
  <c r="C18" i="5"/>
  <c r="H17" i="5"/>
  <c r="G17" i="5"/>
  <c r="C17" i="5"/>
  <c r="H16" i="5"/>
  <c r="G16" i="5"/>
  <c r="C16" i="5"/>
  <c r="H15" i="5"/>
  <c r="G15" i="5"/>
  <c r="C15" i="5"/>
  <c r="H14" i="5"/>
  <c r="G14" i="5"/>
  <c r="C14" i="5"/>
  <c r="H13" i="5"/>
  <c r="G13" i="5"/>
  <c r="C13" i="5"/>
  <c r="H12" i="5"/>
  <c r="G12" i="5"/>
  <c r="C12" i="5"/>
  <c r="H11" i="5"/>
  <c r="G11" i="5"/>
  <c r="C11" i="5"/>
  <c r="H10" i="5"/>
  <c r="G10" i="5"/>
  <c r="C10" i="5"/>
  <c r="H9" i="5"/>
  <c r="G9" i="5"/>
  <c r="C9" i="5"/>
  <c r="H8" i="5"/>
  <c r="G8" i="5"/>
  <c r="C8" i="5"/>
  <c r="H7" i="5"/>
  <c r="G7" i="5"/>
  <c r="C7" i="5"/>
  <c r="H6" i="5"/>
  <c r="G6" i="5"/>
  <c r="C6" i="5"/>
  <c r="G5" i="5"/>
  <c r="H5" i="5" s="1"/>
  <c r="G4" i="5"/>
  <c r="H4" i="5" s="1"/>
  <c r="G500" i="4"/>
  <c r="C500" i="4"/>
  <c r="G499" i="4"/>
  <c r="C499" i="4"/>
  <c r="G498" i="4"/>
  <c r="C498" i="4"/>
  <c r="G497" i="4"/>
  <c r="C497" i="4"/>
  <c r="G496" i="4"/>
  <c r="C496" i="4"/>
  <c r="G495" i="4"/>
  <c r="C495" i="4"/>
  <c r="G494" i="4"/>
  <c r="C494" i="4"/>
  <c r="G493" i="4"/>
  <c r="C493" i="4"/>
  <c r="G492" i="4"/>
  <c r="C492" i="4"/>
  <c r="G491" i="4"/>
  <c r="C491" i="4"/>
  <c r="G490" i="4"/>
  <c r="C490" i="4"/>
  <c r="G489" i="4"/>
  <c r="C489" i="4"/>
  <c r="G488" i="4"/>
  <c r="C488" i="4"/>
  <c r="G487" i="4"/>
  <c r="C487" i="4"/>
  <c r="G486" i="4"/>
  <c r="C486" i="4"/>
  <c r="G485" i="4"/>
  <c r="C485" i="4"/>
  <c r="G484" i="4"/>
  <c r="C484" i="4"/>
  <c r="G483" i="4"/>
  <c r="C483" i="4"/>
  <c r="G482" i="4"/>
  <c r="C482" i="4"/>
  <c r="G481" i="4"/>
  <c r="C481" i="4"/>
  <c r="G480" i="4"/>
  <c r="C480" i="4"/>
  <c r="G479" i="4"/>
  <c r="C479" i="4"/>
  <c r="G478" i="4"/>
  <c r="C478" i="4"/>
  <c r="G477" i="4"/>
  <c r="C477" i="4"/>
  <c r="G476" i="4"/>
  <c r="C476" i="4"/>
  <c r="G475" i="4"/>
  <c r="C475" i="4"/>
  <c r="G474" i="4"/>
  <c r="C474" i="4"/>
  <c r="G473" i="4"/>
  <c r="C473" i="4"/>
  <c r="G472" i="4"/>
  <c r="C472" i="4"/>
  <c r="G471" i="4"/>
  <c r="C471" i="4"/>
  <c r="G470" i="4"/>
  <c r="C470" i="4"/>
  <c r="G469" i="4"/>
  <c r="C469" i="4"/>
  <c r="G468" i="4"/>
  <c r="C468" i="4"/>
  <c r="G467" i="4"/>
  <c r="C467" i="4"/>
  <c r="G466" i="4"/>
  <c r="C466" i="4"/>
  <c r="G465" i="4"/>
  <c r="C465" i="4"/>
  <c r="G464" i="4"/>
  <c r="C464" i="4"/>
  <c r="G463" i="4"/>
  <c r="C463" i="4"/>
  <c r="G462" i="4"/>
  <c r="C462" i="4"/>
  <c r="G461" i="4"/>
  <c r="C461" i="4"/>
  <c r="G460" i="4"/>
  <c r="C460" i="4"/>
  <c r="G459" i="4"/>
  <c r="C459" i="4"/>
  <c r="G458" i="4"/>
  <c r="C458" i="4"/>
  <c r="G457" i="4"/>
  <c r="C457" i="4"/>
  <c r="G456" i="4"/>
  <c r="C456" i="4"/>
  <c r="G455" i="4"/>
  <c r="C455" i="4"/>
  <c r="G454" i="4"/>
  <c r="C454" i="4"/>
  <c r="G453" i="4"/>
  <c r="C453" i="4"/>
  <c r="G452" i="4"/>
  <c r="C452" i="4"/>
  <c r="G451" i="4"/>
  <c r="C451" i="4"/>
  <c r="G450" i="4"/>
  <c r="C450" i="4"/>
  <c r="G449" i="4"/>
  <c r="C449" i="4"/>
  <c r="G448" i="4"/>
  <c r="C448" i="4"/>
  <c r="G447" i="4"/>
  <c r="C447" i="4"/>
  <c r="G446" i="4"/>
  <c r="C446" i="4"/>
  <c r="G445" i="4"/>
  <c r="C445" i="4"/>
  <c r="G444" i="4"/>
  <c r="C444" i="4"/>
  <c r="G443" i="4"/>
  <c r="C443" i="4"/>
  <c r="G442" i="4"/>
  <c r="C442" i="4"/>
  <c r="G441" i="4"/>
  <c r="C441" i="4"/>
  <c r="G440" i="4"/>
  <c r="C440" i="4"/>
  <c r="G439" i="4"/>
  <c r="C439" i="4"/>
  <c r="G438" i="4"/>
  <c r="C438" i="4"/>
  <c r="G437" i="4"/>
  <c r="C437" i="4"/>
  <c r="G436" i="4"/>
  <c r="C436" i="4"/>
  <c r="G435" i="4"/>
  <c r="C435" i="4"/>
  <c r="G434" i="4"/>
  <c r="C434" i="4"/>
  <c r="G433" i="4"/>
  <c r="C433" i="4"/>
  <c r="G432" i="4"/>
  <c r="C432" i="4"/>
  <c r="G431" i="4"/>
  <c r="C431" i="4"/>
  <c r="G430" i="4"/>
  <c r="C430" i="4"/>
  <c r="G429" i="4"/>
  <c r="C429" i="4"/>
  <c r="G428" i="4"/>
  <c r="C428" i="4"/>
  <c r="G427" i="4"/>
  <c r="C427" i="4"/>
  <c r="G426" i="4"/>
  <c r="C426" i="4"/>
  <c r="G425" i="4"/>
  <c r="C425" i="4"/>
  <c r="G424" i="4"/>
  <c r="C424" i="4"/>
  <c r="G423" i="4"/>
  <c r="C423" i="4"/>
  <c r="G422" i="4"/>
  <c r="C422" i="4"/>
  <c r="G421" i="4"/>
  <c r="C421" i="4"/>
  <c r="G420" i="4"/>
  <c r="C420" i="4"/>
  <c r="G419" i="4"/>
  <c r="C419" i="4"/>
  <c r="G418" i="4"/>
  <c r="C418" i="4"/>
  <c r="G417" i="4"/>
  <c r="C417" i="4"/>
  <c r="G416" i="4"/>
  <c r="C416" i="4"/>
  <c r="G415" i="4"/>
  <c r="C415" i="4"/>
  <c r="G414" i="4"/>
  <c r="C414" i="4"/>
  <c r="G413" i="4"/>
  <c r="C413" i="4"/>
  <c r="G412" i="4"/>
  <c r="C412" i="4"/>
  <c r="G411" i="4"/>
  <c r="C411" i="4"/>
  <c r="G410" i="4"/>
  <c r="C410" i="4"/>
  <c r="G409" i="4"/>
  <c r="C409" i="4"/>
  <c r="G408" i="4"/>
  <c r="C408" i="4"/>
  <c r="G407" i="4"/>
  <c r="C407" i="4"/>
  <c r="G406" i="4"/>
  <c r="C406" i="4"/>
  <c r="G405" i="4"/>
  <c r="C405" i="4"/>
  <c r="G404" i="4"/>
  <c r="C404" i="4"/>
  <c r="G403" i="4"/>
  <c r="C403" i="4"/>
  <c r="G402" i="4"/>
  <c r="C402" i="4"/>
  <c r="G401" i="4"/>
  <c r="C401" i="4"/>
  <c r="G400" i="4"/>
  <c r="C400" i="4"/>
  <c r="G399" i="4"/>
  <c r="C399" i="4"/>
  <c r="G398" i="4"/>
  <c r="C398" i="4"/>
  <c r="G397" i="4"/>
  <c r="C397" i="4"/>
  <c r="G396" i="4"/>
  <c r="C396" i="4"/>
  <c r="G395" i="4"/>
  <c r="C395" i="4"/>
  <c r="G394" i="4"/>
  <c r="C394" i="4"/>
  <c r="G393" i="4"/>
  <c r="C393" i="4"/>
  <c r="G392" i="4"/>
  <c r="C392" i="4"/>
  <c r="G391" i="4"/>
  <c r="C391" i="4"/>
  <c r="G390" i="4"/>
  <c r="C390" i="4"/>
  <c r="G389" i="4"/>
  <c r="C389" i="4"/>
  <c r="G388" i="4"/>
  <c r="C388" i="4"/>
  <c r="G387" i="4"/>
  <c r="C387" i="4"/>
  <c r="G386" i="4"/>
  <c r="C386" i="4"/>
  <c r="G385" i="4"/>
  <c r="C385" i="4"/>
  <c r="G384" i="4"/>
  <c r="C384" i="4"/>
  <c r="G383" i="4"/>
  <c r="C383" i="4"/>
  <c r="G382" i="4"/>
  <c r="C382" i="4"/>
  <c r="G381" i="4"/>
  <c r="C381" i="4"/>
  <c r="G380" i="4"/>
  <c r="C380" i="4"/>
  <c r="G379" i="4"/>
  <c r="C379" i="4"/>
  <c r="G378" i="4"/>
  <c r="C378" i="4"/>
  <c r="G377" i="4"/>
  <c r="C377" i="4"/>
  <c r="G376" i="4"/>
  <c r="C376" i="4"/>
  <c r="G375" i="4"/>
  <c r="C375" i="4"/>
  <c r="G374" i="4"/>
  <c r="C374" i="4"/>
  <c r="G373" i="4"/>
  <c r="C373" i="4"/>
  <c r="G372" i="4"/>
  <c r="C372" i="4"/>
  <c r="G371" i="4"/>
  <c r="C371" i="4"/>
  <c r="G370" i="4"/>
  <c r="C370" i="4"/>
  <c r="G369" i="4"/>
  <c r="C369" i="4"/>
  <c r="G368" i="4"/>
  <c r="C368" i="4"/>
  <c r="G367" i="4"/>
  <c r="C367" i="4"/>
  <c r="G366" i="4"/>
  <c r="C366" i="4"/>
  <c r="G365" i="4"/>
  <c r="C365" i="4"/>
  <c r="G364" i="4"/>
  <c r="C364" i="4"/>
  <c r="G363" i="4"/>
  <c r="C363" i="4"/>
  <c r="G362" i="4"/>
  <c r="C362" i="4"/>
  <c r="G361" i="4"/>
  <c r="C361" i="4"/>
  <c r="G360" i="4"/>
  <c r="C360" i="4"/>
  <c r="G359" i="4"/>
  <c r="C359" i="4"/>
  <c r="G358" i="4"/>
  <c r="C358" i="4"/>
  <c r="G357" i="4"/>
  <c r="C357" i="4"/>
  <c r="G356" i="4"/>
  <c r="C356" i="4"/>
  <c r="G355" i="4"/>
  <c r="C355" i="4"/>
  <c r="G354" i="4"/>
  <c r="C354" i="4"/>
  <c r="G353" i="4"/>
  <c r="C353" i="4"/>
  <c r="G352" i="4"/>
  <c r="C352" i="4"/>
  <c r="G351" i="4"/>
  <c r="C351" i="4"/>
  <c r="G350" i="4"/>
  <c r="C350" i="4"/>
  <c r="G349" i="4"/>
  <c r="C349" i="4"/>
  <c r="G348" i="4"/>
  <c r="C348" i="4"/>
  <c r="G347" i="4"/>
  <c r="C347" i="4"/>
  <c r="G346" i="4"/>
  <c r="C346" i="4"/>
  <c r="G345" i="4"/>
  <c r="C345" i="4"/>
  <c r="G344" i="4"/>
  <c r="C344" i="4"/>
  <c r="G343" i="4"/>
  <c r="C343" i="4"/>
  <c r="G342" i="4"/>
  <c r="C342" i="4"/>
  <c r="G341" i="4"/>
  <c r="C341" i="4"/>
  <c r="G340" i="4"/>
  <c r="C340" i="4"/>
  <c r="G339" i="4"/>
  <c r="C339" i="4"/>
  <c r="G338" i="4"/>
  <c r="C338" i="4"/>
  <c r="G337" i="4"/>
  <c r="C337" i="4"/>
  <c r="G336" i="4"/>
  <c r="C336" i="4"/>
  <c r="G335" i="4"/>
  <c r="C335" i="4"/>
  <c r="G334" i="4"/>
  <c r="C334" i="4"/>
  <c r="G333" i="4"/>
  <c r="C333" i="4"/>
  <c r="G332" i="4"/>
  <c r="C332" i="4"/>
  <c r="G331" i="4"/>
  <c r="C331" i="4"/>
  <c r="G330" i="4"/>
  <c r="C330" i="4"/>
  <c r="G329" i="4"/>
  <c r="C329" i="4"/>
  <c r="G328" i="4"/>
  <c r="C328" i="4"/>
  <c r="G327" i="4"/>
  <c r="C327" i="4"/>
  <c r="G326" i="4"/>
  <c r="C326" i="4"/>
  <c r="G325" i="4"/>
  <c r="C325" i="4"/>
  <c r="G324" i="4"/>
  <c r="C324" i="4"/>
  <c r="G323" i="4"/>
  <c r="C323" i="4"/>
  <c r="G322" i="4"/>
  <c r="C322" i="4"/>
  <c r="G321" i="4"/>
  <c r="C321" i="4"/>
  <c r="G320" i="4"/>
  <c r="C320" i="4"/>
  <c r="G319" i="4"/>
  <c r="C319" i="4"/>
  <c r="G318" i="4"/>
  <c r="C318" i="4"/>
  <c r="G317" i="4"/>
  <c r="C317" i="4"/>
  <c r="G316" i="4"/>
  <c r="C316" i="4"/>
  <c r="G315" i="4"/>
  <c r="C315" i="4"/>
  <c r="G314" i="4"/>
  <c r="C314" i="4"/>
  <c r="G313" i="4"/>
  <c r="C313" i="4"/>
  <c r="G312" i="4"/>
  <c r="C312" i="4"/>
  <c r="G311" i="4"/>
  <c r="C311" i="4"/>
  <c r="G310" i="4"/>
  <c r="C310" i="4"/>
  <c r="G309" i="4"/>
  <c r="C309" i="4"/>
  <c r="G308" i="4"/>
  <c r="C308" i="4"/>
  <c r="G307" i="4"/>
  <c r="C307" i="4"/>
  <c r="G306" i="4"/>
  <c r="C306" i="4"/>
  <c r="G305" i="4"/>
  <c r="C305" i="4"/>
  <c r="G304" i="4"/>
  <c r="C304" i="4"/>
  <c r="G303" i="4"/>
  <c r="C303" i="4"/>
  <c r="G302" i="4"/>
  <c r="C302" i="4"/>
  <c r="G301" i="4"/>
  <c r="C301" i="4"/>
  <c r="G300" i="4"/>
  <c r="C300" i="4"/>
  <c r="G299" i="4"/>
  <c r="C299" i="4"/>
  <c r="G298" i="4"/>
  <c r="C298" i="4"/>
  <c r="G297" i="4"/>
  <c r="C297" i="4"/>
  <c r="G296" i="4"/>
  <c r="C296" i="4"/>
  <c r="G295" i="4"/>
  <c r="C295" i="4"/>
  <c r="G294" i="4"/>
  <c r="C294" i="4"/>
  <c r="G293" i="4"/>
  <c r="C293" i="4"/>
  <c r="G292" i="4"/>
  <c r="C292" i="4"/>
  <c r="G291" i="4"/>
  <c r="C291" i="4"/>
  <c r="G290" i="4"/>
  <c r="C290" i="4"/>
  <c r="G289" i="4"/>
  <c r="C289" i="4"/>
  <c r="G288" i="4"/>
  <c r="C288" i="4"/>
  <c r="G287" i="4"/>
  <c r="C287" i="4"/>
  <c r="G286" i="4"/>
  <c r="C286" i="4"/>
  <c r="G285" i="4"/>
  <c r="C285" i="4"/>
  <c r="G284" i="4"/>
  <c r="C284" i="4"/>
  <c r="G283" i="4"/>
  <c r="C283" i="4"/>
  <c r="G282" i="4"/>
  <c r="C282" i="4"/>
  <c r="G281" i="4"/>
  <c r="C281" i="4"/>
  <c r="G280" i="4"/>
  <c r="C280" i="4"/>
  <c r="G279" i="4"/>
  <c r="C279" i="4"/>
  <c r="G278" i="4"/>
  <c r="C278" i="4"/>
  <c r="G277" i="4"/>
  <c r="C277" i="4"/>
  <c r="G276" i="4"/>
  <c r="C276" i="4"/>
  <c r="G275" i="4"/>
  <c r="C275" i="4"/>
  <c r="G274" i="4"/>
  <c r="C274" i="4"/>
  <c r="G273" i="4"/>
  <c r="C273" i="4"/>
  <c r="G272" i="4"/>
  <c r="C272" i="4"/>
  <c r="G271" i="4"/>
  <c r="C271" i="4"/>
  <c r="G270" i="4"/>
  <c r="C270" i="4"/>
  <c r="G269" i="4"/>
  <c r="C269" i="4"/>
  <c r="G268" i="4"/>
  <c r="C268" i="4"/>
  <c r="G267" i="4"/>
  <c r="C267" i="4"/>
  <c r="G266" i="4"/>
  <c r="C266" i="4"/>
  <c r="G265" i="4"/>
  <c r="C265" i="4"/>
  <c r="G264" i="4"/>
  <c r="C264" i="4"/>
  <c r="G263" i="4"/>
  <c r="C263" i="4"/>
  <c r="G262" i="4"/>
  <c r="C262" i="4"/>
  <c r="G261" i="4"/>
  <c r="C261" i="4"/>
  <c r="G260" i="4"/>
  <c r="C260" i="4"/>
  <c r="G259" i="4"/>
  <c r="C259" i="4"/>
  <c r="G258" i="4"/>
  <c r="C258" i="4"/>
  <c r="G257" i="4"/>
  <c r="C257" i="4"/>
  <c r="G256" i="4"/>
  <c r="C256" i="4"/>
  <c r="G255" i="4"/>
  <c r="C255" i="4"/>
  <c r="G254" i="4"/>
  <c r="C254" i="4"/>
  <c r="G253" i="4"/>
  <c r="C253" i="4"/>
  <c r="G252" i="4"/>
  <c r="C252" i="4"/>
  <c r="G251" i="4"/>
  <c r="C251" i="4"/>
  <c r="G250" i="4"/>
  <c r="C250" i="4"/>
  <c r="G249" i="4"/>
  <c r="C249" i="4"/>
  <c r="G248" i="4"/>
  <c r="C248" i="4"/>
  <c r="G247" i="4"/>
  <c r="C247" i="4"/>
  <c r="G246" i="4"/>
  <c r="C246" i="4"/>
  <c r="G245" i="4"/>
  <c r="C245" i="4"/>
  <c r="G244" i="4"/>
  <c r="C244" i="4"/>
  <c r="G243" i="4"/>
  <c r="C243" i="4"/>
  <c r="G242" i="4"/>
  <c r="C242" i="4"/>
  <c r="G241" i="4"/>
  <c r="C241" i="4"/>
  <c r="G240" i="4"/>
  <c r="C240" i="4"/>
  <c r="G239" i="4"/>
  <c r="C239" i="4"/>
  <c r="G238" i="4"/>
  <c r="C238" i="4"/>
  <c r="G237" i="4"/>
  <c r="C237" i="4"/>
  <c r="G236" i="4"/>
  <c r="C236" i="4"/>
  <c r="G235" i="4"/>
  <c r="C235" i="4"/>
  <c r="G234" i="4"/>
  <c r="C234" i="4"/>
  <c r="G233" i="4"/>
  <c r="C233" i="4"/>
  <c r="G232" i="4"/>
  <c r="C232" i="4"/>
  <c r="G231" i="4"/>
  <c r="C231" i="4"/>
  <c r="G230" i="4"/>
  <c r="C230" i="4"/>
  <c r="G229" i="4"/>
  <c r="C229" i="4"/>
  <c r="G228" i="4"/>
  <c r="C228" i="4"/>
  <c r="G227" i="4"/>
  <c r="C227" i="4"/>
  <c r="G226" i="4"/>
  <c r="C226" i="4"/>
  <c r="G225" i="4"/>
  <c r="C225" i="4"/>
  <c r="G224" i="4"/>
  <c r="C224" i="4"/>
  <c r="G223" i="4"/>
  <c r="C223" i="4"/>
  <c r="G222" i="4"/>
  <c r="C222" i="4"/>
  <c r="G221" i="4"/>
  <c r="C221" i="4"/>
  <c r="G220" i="4"/>
  <c r="C220" i="4"/>
  <c r="G219" i="4"/>
  <c r="C219" i="4"/>
  <c r="G218" i="4"/>
  <c r="C218" i="4"/>
  <c r="G217" i="4"/>
  <c r="C217" i="4"/>
  <c r="G216" i="4"/>
  <c r="C216" i="4"/>
  <c r="G215" i="4"/>
  <c r="C215" i="4"/>
  <c r="G214" i="4"/>
  <c r="C214" i="4"/>
  <c r="G213" i="4"/>
  <c r="C213" i="4"/>
  <c r="G212" i="4"/>
  <c r="C212" i="4"/>
  <c r="G211" i="4"/>
  <c r="C211" i="4"/>
  <c r="G210" i="4"/>
  <c r="C210" i="4"/>
  <c r="G209" i="4"/>
  <c r="C209" i="4"/>
  <c r="G208" i="4"/>
  <c r="C208" i="4"/>
  <c r="G207" i="4"/>
  <c r="C207" i="4"/>
  <c r="G206" i="4"/>
  <c r="C206" i="4"/>
  <c r="G205" i="4"/>
  <c r="C205" i="4"/>
  <c r="G204" i="4"/>
  <c r="C204" i="4"/>
  <c r="G203" i="4"/>
  <c r="C203" i="4"/>
  <c r="G202" i="4"/>
  <c r="C202" i="4"/>
  <c r="G201" i="4"/>
  <c r="C201" i="4"/>
  <c r="G200" i="4"/>
  <c r="C200" i="4"/>
  <c r="G199" i="4"/>
  <c r="C199" i="4"/>
  <c r="G198" i="4"/>
  <c r="C198" i="4"/>
  <c r="G197" i="4"/>
  <c r="C197" i="4"/>
  <c r="G196" i="4"/>
  <c r="C196" i="4"/>
  <c r="G195" i="4"/>
  <c r="C195" i="4"/>
  <c r="G194" i="4"/>
  <c r="C194" i="4"/>
  <c r="G193" i="4"/>
  <c r="C193" i="4"/>
  <c r="G192" i="4"/>
  <c r="C192" i="4"/>
  <c r="G191" i="4"/>
  <c r="C191" i="4"/>
  <c r="G190" i="4"/>
  <c r="C190" i="4"/>
  <c r="G189" i="4"/>
  <c r="C189" i="4"/>
  <c r="G188" i="4"/>
  <c r="C188" i="4"/>
  <c r="G187" i="4"/>
  <c r="C187" i="4"/>
  <c r="G186" i="4"/>
  <c r="C186" i="4"/>
  <c r="G185" i="4"/>
  <c r="C185" i="4"/>
  <c r="G184" i="4"/>
  <c r="C184" i="4"/>
  <c r="G183" i="4"/>
  <c r="C183" i="4"/>
  <c r="G182" i="4"/>
  <c r="C182" i="4"/>
  <c r="G181" i="4"/>
  <c r="C181" i="4"/>
  <c r="G180" i="4"/>
  <c r="C180" i="4"/>
  <c r="G179" i="4"/>
  <c r="C179" i="4"/>
  <c r="G178" i="4"/>
  <c r="C178" i="4"/>
  <c r="G177" i="4"/>
  <c r="C177" i="4"/>
  <c r="G176" i="4"/>
  <c r="C176" i="4"/>
  <c r="G175" i="4"/>
  <c r="C175" i="4"/>
  <c r="G174" i="4"/>
  <c r="C174" i="4"/>
  <c r="G173" i="4"/>
  <c r="C173" i="4"/>
  <c r="G172" i="4"/>
  <c r="C172" i="4"/>
  <c r="G171" i="4"/>
  <c r="C171" i="4"/>
  <c r="G170" i="4"/>
  <c r="C170" i="4"/>
  <c r="G169" i="4"/>
  <c r="C169" i="4"/>
  <c r="G168" i="4"/>
  <c r="C168" i="4"/>
  <c r="G167" i="4"/>
  <c r="C167" i="4"/>
  <c r="G166" i="4"/>
  <c r="C166" i="4"/>
  <c r="G165" i="4"/>
  <c r="C165" i="4"/>
  <c r="G164" i="4"/>
  <c r="C164" i="4"/>
  <c r="G163" i="4"/>
  <c r="C163" i="4"/>
  <c r="G162" i="4"/>
  <c r="C162" i="4"/>
  <c r="G161" i="4"/>
  <c r="C161" i="4"/>
  <c r="G160" i="4"/>
  <c r="C160" i="4"/>
  <c r="G159" i="4"/>
  <c r="C159" i="4"/>
  <c r="G158" i="4"/>
  <c r="C158" i="4"/>
  <c r="G157" i="4"/>
  <c r="C157" i="4"/>
  <c r="G156" i="4"/>
  <c r="C156" i="4"/>
  <c r="G155" i="4"/>
  <c r="C155" i="4"/>
  <c r="G154" i="4"/>
  <c r="C154" i="4"/>
  <c r="G153" i="4"/>
  <c r="C153" i="4"/>
  <c r="G152" i="4"/>
  <c r="C152" i="4"/>
  <c r="G151" i="4"/>
  <c r="C151" i="4"/>
  <c r="G150" i="4"/>
  <c r="C150" i="4"/>
  <c r="G149" i="4"/>
  <c r="C149" i="4"/>
  <c r="G148" i="4"/>
  <c r="C148" i="4"/>
  <c r="G147" i="4"/>
  <c r="C147" i="4"/>
  <c r="G146" i="4"/>
  <c r="C146" i="4"/>
  <c r="G145" i="4"/>
  <c r="C145" i="4"/>
  <c r="G144" i="4"/>
  <c r="C144" i="4"/>
  <c r="G143" i="4"/>
  <c r="C143" i="4"/>
  <c r="G142" i="4"/>
  <c r="C142" i="4"/>
  <c r="G141" i="4"/>
  <c r="C141" i="4"/>
  <c r="G140" i="4"/>
  <c r="C140" i="4"/>
  <c r="G139" i="4"/>
  <c r="C139" i="4"/>
  <c r="G138" i="4"/>
  <c r="C138" i="4"/>
  <c r="G137" i="4"/>
  <c r="C137" i="4"/>
  <c r="G136" i="4"/>
  <c r="C136" i="4"/>
  <c r="G135" i="4"/>
  <c r="C135" i="4"/>
  <c r="G134" i="4"/>
  <c r="C134" i="4"/>
  <c r="G133" i="4"/>
  <c r="C133" i="4"/>
  <c r="G132" i="4"/>
  <c r="C132" i="4"/>
  <c r="G131" i="4"/>
  <c r="C131" i="4"/>
  <c r="G130" i="4"/>
  <c r="C130" i="4"/>
  <c r="G129" i="4"/>
  <c r="C129" i="4"/>
  <c r="G128" i="4"/>
  <c r="C128" i="4"/>
  <c r="G127" i="4"/>
  <c r="C127" i="4"/>
  <c r="G126" i="4"/>
  <c r="C126" i="4"/>
  <c r="G125" i="4"/>
  <c r="C125" i="4"/>
  <c r="G124" i="4"/>
  <c r="C124" i="4"/>
  <c r="G123" i="4"/>
  <c r="C123" i="4"/>
  <c r="G122" i="4"/>
  <c r="C122" i="4"/>
  <c r="G121" i="4"/>
  <c r="C121" i="4"/>
  <c r="G120" i="4"/>
  <c r="C120" i="4"/>
  <c r="G119" i="4"/>
  <c r="C119" i="4"/>
  <c r="G118" i="4"/>
  <c r="C118" i="4"/>
  <c r="G117" i="4"/>
  <c r="C117" i="4"/>
  <c r="G116" i="4"/>
  <c r="C116" i="4"/>
  <c r="G115" i="4"/>
  <c r="C115" i="4"/>
  <c r="G114" i="4"/>
  <c r="C114" i="4"/>
  <c r="G113" i="4"/>
  <c r="C113" i="4"/>
  <c r="G112" i="4"/>
  <c r="C112" i="4"/>
  <c r="G111" i="4"/>
  <c r="C111" i="4"/>
  <c r="G110" i="4"/>
  <c r="C110" i="4"/>
  <c r="G109" i="4"/>
  <c r="C109" i="4"/>
  <c r="G108" i="4"/>
  <c r="C108" i="4"/>
  <c r="G107" i="4"/>
  <c r="C107" i="4"/>
  <c r="G106" i="4"/>
  <c r="C106" i="4"/>
  <c r="G105" i="4"/>
  <c r="C105" i="4"/>
  <c r="G104" i="4"/>
  <c r="C104" i="4"/>
  <c r="G103" i="4"/>
  <c r="C103" i="4"/>
  <c r="G102" i="4"/>
  <c r="C102" i="4"/>
  <c r="G101" i="4"/>
  <c r="C101" i="4"/>
  <c r="G100" i="4"/>
  <c r="C100" i="4"/>
  <c r="G99" i="4"/>
  <c r="C99" i="4"/>
  <c r="G98" i="4"/>
  <c r="C98" i="4"/>
  <c r="G97" i="4"/>
  <c r="C97" i="4"/>
  <c r="G96" i="4"/>
  <c r="C96" i="4"/>
  <c r="G95" i="4"/>
  <c r="C95" i="4"/>
  <c r="G94" i="4"/>
  <c r="C94" i="4"/>
  <c r="G93" i="4"/>
  <c r="C93" i="4"/>
  <c r="G92" i="4"/>
  <c r="C92" i="4"/>
  <c r="G91" i="4"/>
  <c r="C91" i="4"/>
  <c r="G90" i="4"/>
  <c r="C90" i="4"/>
  <c r="G89" i="4"/>
  <c r="C89" i="4"/>
  <c r="G88" i="4"/>
  <c r="C88" i="4"/>
  <c r="G87" i="4"/>
  <c r="C87" i="4"/>
  <c r="G86" i="4"/>
  <c r="C86" i="4"/>
  <c r="G85" i="4"/>
  <c r="C85" i="4"/>
  <c r="G84" i="4"/>
  <c r="C84" i="4"/>
  <c r="G83" i="4"/>
  <c r="C83" i="4"/>
  <c r="G82" i="4"/>
  <c r="C82" i="4"/>
  <c r="G81" i="4"/>
  <c r="C81" i="4"/>
  <c r="G80" i="4"/>
  <c r="C80" i="4"/>
  <c r="G79" i="4"/>
  <c r="C79" i="4"/>
  <c r="G78" i="4"/>
  <c r="C78" i="4"/>
  <c r="G77" i="4"/>
  <c r="C77" i="4"/>
  <c r="G76" i="4"/>
  <c r="C76" i="4"/>
  <c r="G75" i="4"/>
  <c r="C75" i="4"/>
  <c r="G74" i="4"/>
  <c r="C74" i="4"/>
  <c r="G73" i="4"/>
  <c r="C73" i="4"/>
  <c r="G72" i="4"/>
  <c r="C72" i="4"/>
  <c r="G71" i="4"/>
  <c r="C71" i="4"/>
  <c r="G70" i="4"/>
  <c r="C70" i="4"/>
  <c r="G69" i="4"/>
  <c r="C69" i="4"/>
  <c r="G68" i="4"/>
  <c r="C68" i="4"/>
  <c r="G67" i="4"/>
  <c r="C67" i="4"/>
  <c r="G66" i="4"/>
  <c r="C66" i="4"/>
  <c r="G65" i="4"/>
  <c r="C65" i="4"/>
  <c r="G64" i="4"/>
  <c r="C64" i="4"/>
  <c r="G63" i="4"/>
  <c r="C63" i="4"/>
  <c r="G62" i="4"/>
  <c r="C62" i="4"/>
  <c r="G61" i="4"/>
  <c r="C61" i="4"/>
  <c r="G60" i="4"/>
  <c r="C60" i="4"/>
  <c r="G59" i="4"/>
  <c r="C59" i="4"/>
  <c r="G58" i="4"/>
  <c r="C58" i="4"/>
  <c r="G57" i="4"/>
  <c r="C57" i="4"/>
  <c r="G56" i="4"/>
  <c r="C56" i="4"/>
  <c r="G55" i="4"/>
  <c r="C55" i="4"/>
  <c r="G54" i="4"/>
  <c r="C54" i="4"/>
  <c r="G53" i="4"/>
  <c r="C53" i="4"/>
  <c r="G52" i="4"/>
  <c r="C52" i="4"/>
  <c r="G51" i="4"/>
  <c r="C51" i="4"/>
  <c r="G50" i="4"/>
  <c r="C50" i="4"/>
  <c r="G49" i="4"/>
  <c r="C49" i="4"/>
  <c r="G48" i="4"/>
  <c r="C48" i="4"/>
  <c r="G47" i="4"/>
  <c r="C47" i="4"/>
  <c r="G46" i="4"/>
  <c r="C46" i="4"/>
  <c r="G45" i="4"/>
  <c r="C45" i="4"/>
  <c r="G44" i="4"/>
  <c r="C44" i="4"/>
  <c r="G43" i="4"/>
  <c r="C43" i="4"/>
  <c r="G42" i="4"/>
  <c r="C42" i="4"/>
  <c r="G41" i="4"/>
  <c r="C41" i="4"/>
  <c r="G40" i="4"/>
  <c r="C40" i="4"/>
  <c r="G39" i="4"/>
  <c r="C39" i="4"/>
  <c r="G38" i="4"/>
  <c r="C38" i="4"/>
  <c r="G37" i="4"/>
  <c r="C37" i="4"/>
  <c r="G36" i="4"/>
  <c r="C36" i="4"/>
  <c r="G35" i="4"/>
  <c r="C35" i="4"/>
  <c r="G34" i="4"/>
  <c r="C34" i="4"/>
  <c r="G33" i="4"/>
  <c r="C33" i="4"/>
  <c r="G32" i="4"/>
  <c r="C32" i="4"/>
  <c r="G31" i="4"/>
  <c r="C31" i="4"/>
  <c r="G30" i="4"/>
  <c r="C30" i="4"/>
  <c r="G29" i="4"/>
  <c r="C29" i="4"/>
  <c r="G28" i="4"/>
  <c r="C28" i="4"/>
  <c r="G27" i="4"/>
  <c r="C27" i="4"/>
  <c r="G26" i="4"/>
  <c r="C26" i="4"/>
  <c r="G25" i="4"/>
  <c r="C25" i="4"/>
  <c r="G24" i="4"/>
  <c r="C24" i="4"/>
  <c r="G23" i="4"/>
  <c r="C23" i="4"/>
  <c r="G22" i="4"/>
  <c r="C22" i="4"/>
  <c r="G21" i="4"/>
  <c r="C21" i="4"/>
  <c r="G20" i="4"/>
  <c r="C20" i="4"/>
  <c r="G19" i="4"/>
  <c r="C19" i="4"/>
  <c r="G18" i="4"/>
  <c r="C18" i="4"/>
  <c r="G17" i="4"/>
  <c r="C17" i="4"/>
  <c r="G16" i="4"/>
  <c r="C16" i="4"/>
  <c r="G15" i="4"/>
  <c r="C15" i="4"/>
  <c r="G14" i="4"/>
  <c r="C14" i="4"/>
  <c r="G13" i="4"/>
  <c r="C13" i="4"/>
  <c r="G12" i="4"/>
  <c r="C12" i="4"/>
  <c r="G11" i="4"/>
  <c r="C11" i="4"/>
  <c r="G10" i="4"/>
  <c r="C10" i="4"/>
  <c r="G9" i="4"/>
  <c r="C9" i="4"/>
  <c r="G8" i="4"/>
  <c r="C8" i="4"/>
  <c r="G7" i="4"/>
  <c r="C7" i="4"/>
  <c r="G6" i="4"/>
  <c r="C6" i="4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1" i="3"/>
  <c r="I9" i="3"/>
  <c r="I8" i="3"/>
  <c r="I6" i="3"/>
  <c r="I4" i="3"/>
  <c r="M7" i="6" l="1"/>
  <c r="M6" i="6"/>
  <c r="J4" i="6"/>
  <c r="I4" i="6"/>
  <c r="D4" i="6"/>
  <c r="C4" i="6"/>
  <c r="B4" i="6"/>
  <c r="J5" i="6"/>
  <c r="I5" i="6"/>
  <c r="G5" i="6"/>
  <c r="F5" i="6"/>
  <c r="H5" i="6" s="1"/>
  <c r="E5" i="6"/>
  <c r="D5" i="6"/>
  <c r="C5" i="6"/>
  <c r="B5" i="6"/>
  <c r="J6" i="6"/>
  <c r="I6" i="6"/>
  <c r="G6" i="6"/>
  <c r="F6" i="6"/>
  <c r="H6" i="6" s="1"/>
  <c r="E6" i="6"/>
  <c r="D6" i="6"/>
  <c r="C6" i="6"/>
  <c r="B6" i="6"/>
  <c r="J7" i="6"/>
  <c r="I7" i="6"/>
  <c r="G7" i="6"/>
  <c r="F7" i="6"/>
  <c r="E7" i="6"/>
  <c r="D7" i="6"/>
  <c r="C7" i="6"/>
  <c r="B7" i="6"/>
  <c r="J8" i="6"/>
  <c r="I8" i="6"/>
  <c r="G8" i="6"/>
  <c r="F8" i="6"/>
  <c r="E8" i="6"/>
  <c r="D8" i="6"/>
  <c r="C8" i="6"/>
  <c r="B8" i="6"/>
  <c r="J9" i="6"/>
  <c r="I9" i="6"/>
  <c r="G9" i="6"/>
  <c r="F9" i="6"/>
  <c r="E9" i="6"/>
  <c r="D9" i="6"/>
  <c r="C9" i="6"/>
  <c r="B9" i="6"/>
  <c r="J10" i="6"/>
  <c r="I10" i="6"/>
  <c r="G10" i="6"/>
  <c r="F10" i="6"/>
  <c r="E10" i="6"/>
  <c r="D10" i="6"/>
  <c r="C10" i="6"/>
  <c r="B10" i="6"/>
  <c r="J11" i="6"/>
  <c r="I11" i="6"/>
  <c r="G11" i="6"/>
  <c r="F11" i="6"/>
  <c r="H11" i="6" s="1"/>
  <c r="E11" i="6"/>
  <c r="D11" i="6"/>
  <c r="C11" i="6"/>
  <c r="B11" i="6"/>
  <c r="J12" i="6"/>
  <c r="I12" i="6"/>
  <c r="G12" i="6"/>
  <c r="F12" i="6"/>
  <c r="E12" i="6"/>
  <c r="D12" i="6"/>
  <c r="C12" i="6"/>
  <c r="B12" i="6"/>
  <c r="J13" i="6"/>
  <c r="I13" i="6"/>
  <c r="G13" i="6"/>
  <c r="F13" i="6"/>
  <c r="E13" i="6"/>
  <c r="D13" i="6"/>
  <c r="C13" i="6"/>
  <c r="B13" i="6"/>
  <c r="J14" i="6"/>
  <c r="I14" i="6"/>
  <c r="G14" i="6"/>
  <c r="F14" i="6"/>
  <c r="H14" i="6" s="1"/>
  <c r="E14" i="6"/>
  <c r="D14" i="6"/>
  <c r="C14" i="6"/>
  <c r="B14" i="6"/>
  <c r="J15" i="6"/>
  <c r="I15" i="6"/>
  <c r="G15" i="6"/>
  <c r="F15" i="6"/>
  <c r="E15" i="6"/>
  <c r="D15" i="6"/>
  <c r="C15" i="6"/>
  <c r="B15" i="6"/>
  <c r="J16" i="6"/>
  <c r="I16" i="6"/>
  <c r="G16" i="6"/>
  <c r="F16" i="6"/>
  <c r="H16" i="6" s="1"/>
  <c r="E16" i="6"/>
  <c r="D16" i="6"/>
  <c r="C16" i="6"/>
  <c r="B16" i="6"/>
  <c r="J17" i="6"/>
  <c r="I17" i="6"/>
  <c r="G17" i="6"/>
  <c r="F17" i="6"/>
  <c r="E17" i="6"/>
  <c r="D17" i="6"/>
  <c r="C17" i="6"/>
  <c r="B17" i="6"/>
  <c r="J18" i="6"/>
  <c r="I18" i="6"/>
  <c r="G18" i="6"/>
  <c r="F18" i="6"/>
  <c r="E18" i="6"/>
  <c r="D18" i="6"/>
  <c r="C18" i="6"/>
  <c r="B18" i="6"/>
  <c r="J19" i="6"/>
  <c r="I19" i="6"/>
  <c r="G19" i="6"/>
  <c r="F19" i="6"/>
  <c r="E19" i="6"/>
  <c r="D19" i="6"/>
  <c r="C19" i="6"/>
  <c r="B19" i="6"/>
  <c r="J20" i="6"/>
  <c r="I20" i="6"/>
  <c r="G20" i="6"/>
  <c r="F20" i="6"/>
  <c r="E20" i="6"/>
  <c r="D20" i="6"/>
  <c r="C20" i="6"/>
  <c r="B20" i="6"/>
  <c r="J21" i="6"/>
  <c r="I21" i="6"/>
  <c r="G21" i="6"/>
  <c r="F21" i="6"/>
  <c r="E21" i="6"/>
  <c r="D21" i="6"/>
  <c r="C21" i="6"/>
  <c r="B21" i="6"/>
  <c r="J22" i="6"/>
  <c r="I22" i="6"/>
  <c r="G22" i="6"/>
  <c r="F22" i="6"/>
  <c r="H22" i="6" s="1"/>
  <c r="E22" i="6"/>
  <c r="D22" i="6"/>
  <c r="C22" i="6"/>
  <c r="B22" i="6"/>
  <c r="J23" i="6"/>
  <c r="I23" i="6"/>
  <c r="G23" i="6"/>
  <c r="F23" i="6"/>
  <c r="E23" i="6"/>
  <c r="D23" i="6"/>
  <c r="C23" i="6"/>
  <c r="B23" i="6"/>
  <c r="J24" i="6"/>
  <c r="I24" i="6"/>
  <c r="G24" i="6"/>
  <c r="F24" i="6"/>
  <c r="E24" i="6"/>
  <c r="D24" i="6"/>
  <c r="C24" i="6"/>
  <c r="B24" i="6"/>
  <c r="J25" i="6"/>
  <c r="I25" i="6"/>
  <c r="G25" i="6"/>
  <c r="F25" i="6"/>
  <c r="E25" i="6"/>
  <c r="D25" i="6"/>
  <c r="C25" i="6"/>
  <c r="B25" i="6"/>
  <c r="J26" i="6"/>
  <c r="I26" i="6"/>
  <c r="G26" i="6"/>
  <c r="F26" i="6"/>
  <c r="E26" i="6"/>
  <c r="D26" i="6"/>
  <c r="C26" i="6"/>
  <c r="B26" i="6"/>
  <c r="J27" i="6"/>
  <c r="I27" i="6"/>
  <c r="G27" i="6"/>
  <c r="F27" i="6"/>
  <c r="E27" i="6"/>
  <c r="D27" i="6"/>
  <c r="C27" i="6"/>
  <c r="B27" i="6"/>
  <c r="J28" i="6"/>
  <c r="I28" i="6"/>
  <c r="G28" i="6"/>
  <c r="F28" i="6"/>
  <c r="E28" i="6"/>
  <c r="D28" i="6"/>
  <c r="C28" i="6"/>
  <c r="B28" i="6"/>
  <c r="J29" i="6"/>
  <c r="I29" i="6"/>
  <c r="G29" i="6"/>
  <c r="F29" i="6"/>
  <c r="E29" i="6"/>
  <c r="D29" i="6"/>
  <c r="C29" i="6"/>
  <c r="B29" i="6"/>
  <c r="J30" i="6"/>
  <c r="I30" i="6"/>
  <c r="G30" i="6"/>
  <c r="F30" i="6"/>
  <c r="H30" i="6" s="1"/>
  <c r="E30" i="6"/>
  <c r="D30" i="6"/>
  <c r="C30" i="6"/>
  <c r="B30" i="6"/>
  <c r="J31" i="6"/>
  <c r="I31" i="6"/>
  <c r="G31" i="6"/>
  <c r="F31" i="6"/>
  <c r="E31" i="6"/>
  <c r="D31" i="6"/>
  <c r="C31" i="6"/>
  <c r="B31" i="6"/>
  <c r="J32" i="6"/>
  <c r="I32" i="6"/>
  <c r="G32" i="6"/>
  <c r="F32" i="6"/>
  <c r="E32" i="6"/>
  <c r="D32" i="6"/>
  <c r="C32" i="6"/>
  <c r="B32" i="6"/>
  <c r="J33" i="6"/>
  <c r="I33" i="6"/>
  <c r="G33" i="6"/>
  <c r="F33" i="6"/>
  <c r="E33" i="6"/>
  <c r="D33" i="6"/>
  <c r="C33" i="6"/>
  <c r="B33" i="6"/>
  <c r="J34" i="6"/>
  <c r="I34" i="6"/>
  <c r="H34" i="6"/>
  <c r="G34" i="6"/>
  <c r="F34" i="6"/>
  <c r="E34" i="6"/>
  <c r="D34" i="6"/>
  <c r="C34" i="6"/>
  <c r="B34" i="6"/>
  <c r="J35" i="6"/>
  <c r="I35" i="6"/>
  <c r="H35" i="6"/>
  <c r="G35" i="6"/>
  <c r="F35" i="6"/>
  <c r="E35" i="6"/>
  <c r="D35" i="6"/>
  <c r="C35" i="6"/>
  <c r="B35" i="6"/>
  <c r="J36" i="6"/>
  <c r="I36" i="6"/>
  <c r="H36" i="6"/>
  <c r="G36" i="6"/>
  <c r="F36" i="6"/>
  <c r="E36" i="6"/>
  <c r="D36" i="6"/>
  <c r="C36" i="6"/>
  <c r="B36" i="6"/>
  <c r="J37" i="6"/>
  <c r="I37" i="6"/>
  <c r="H37" i="6"/>
  <c r="G37" i="6"/>
  <c r="F37" i="6"/>
  <c r="E37" i="6"/>
  <c r="D37" i="6"/>
  <c r="C37" i="6"/>
  <c r="B37" i="6"/>
  <c r="J38" i="6"/>
  <c r="I38" i="6"/>
  <c r="H38" i="6"/>
  <c r="G38" i="6"/>
  <c r="F38" i="6"/>
  <c r="E38" i="6"/>
  <c r="D38" i="6"/>
  <c r="C38" i="6"/>
  <c r="B38" i="6"/>
  <c r="J39" i="6"/>
  <c r="I39" i="6"/>
  <c r="H39" i="6"/>
  <c r="G39" i="6"/>
  <c r="F39" i="6"/>
  <c r="E39" i="6"/>
  <c r="D39" i="6"/>
  <c r="C39" i="6"/>
  <c r="B39" i="6"/>
  <c r="J40" i="6"/>
  <c r="I40" i="6"/>
  <c r="H40" i="6"/>
  <c r="G40" i="6"/>
  <c r="F40" i="6"/>
  <c r="E40" i="6"/>
  <c r="D40" i="6"/>
  <c r="C40" i="6"/>
  <c r="B40" i="6"/>
  <c r="J41" i="6"/>
  <c r="I41" i="6"/>
  <c r="H41" i="6"/>
  <c r="G41" i="6"/>
  <c r="F41" i="6"/>
  <c r="E41" i="6"/>
  <c r="D41" i="6"/>
  <c r="C41" i="6"/>
  <c r="B41" i="6"/>
  <c r="J42" i="6"/>
  <c r="I42" i="6"/>
  <c r="H42" i="6"/>
  <c r="G42" i="6"/>
  <c r="F42" i="6"/>
  <c r="E42" i="6"/>
  <c r="D42" i="6"/>
  <c r="C42" i="6"/>
  <c r="B42" i="6"/>
  <c r="J43" i="6"/>
  <c r="I43" i="6"/>
  <c r="H43" i="6"/>
  <c r="G43" i="6"/>
  <c r="F43" i="6"/>
  <c r="E43" i="6"/>
  <c r="D43" i="6"/>
  <c r="C43" i="6"/>
  <c r="B43" i="6"/>
  <c r="J44" i="6"/>
  <c r="I44" i="6"/>
  <c r="H44" i="6"/>
  <c r="G44" i="6"/>
  <c r="F44" i="6"/>
  <c r="E44" i="6"/>
  <c r="D44" i="6"/>
  <c r="C44" i="6"/>
  <c r="B44" i="6"/>
  <c r="J45" i="6"/>
  <c r="I45" i="6"/>
  <c r="H45" i="6"/>
  <c r="G45" i="6"/>
  <c r="F45" i="6"/>
  <c r="E45" i="6"/>
  <c r="D45" i="6"/>
  <c r="C45" i="6"/>
  <c r="B45" i="6"/>
  <c r="J46" i="6"/>
  <c r="I46" i="6"/>
  <c r="H46" i="6"/>
  <c r="G46" i="6"/>
  <c r="F46" i="6"/>
  <c r="E46" i="6"/>
  <c r="D46" i="6"/>
  <c r="C46" i="6"/>
  <c r="B46" i="6"/>
  <c r="J47" i="6"/>
  <c r="I47" i="6"/>
  <c r="H47" i="6"/>
  <c r="G47" i="6"/>
  <c r="F47" i="6"/>
  <c r="E47" i="6"/>
  <c r="D47" i="6"/>
  <c r="C47" i="6"/>
  <c r="B47" i="6"/>
  <c r="J48" i="6"/>
  <c r="I48" i="6"/>
  <c r="H48" i="6"/>
  <c r="G48" i="6"/>
  <c r="F48" i="6"/>
  <c r="E48" i="6"/>
  <c r="D48" i="6"/>
  <c r="C48" i="6"/>
  <c r="B48" i="6"/>
  <c r="J49" i="6"/>
  <c r="I49" i="6"/>
  <c r="H49" i="6"/>
  <c r="G49" i="6"/>
  <c r="F49" i="6"/>
  <c r="E49" i="6"/>
  <c r="D49" i="6"/>
  <c r="C49" i="6"/>
  <c r="B49" i="6"/>
  <c r="J50" i="6"/>
  <c r="I50" i="6"/>
  <c r="H50" i="6"/>
  <c r="G50" i="6"/>
  <c r="F50" i="6"/>
  <c r="E50" i="6"/>
  <c r="D50" i="6"/>
  <c r="C50" i="6"/>
  <c r="B50" i="6"/>
  <c r="J51" i="6"/>
  <c r="I51" i="6"/>
  <c r="H51" i="6"/>
  <c r="G51" i="6"/>
  <c r="F51" i="6"/>
  <c r="E51" i="6"/>
  <c r="D51" i="6"/>
  <c r="C51" i="6"/>
  <c r="B51" i="6"/>
  <c r="J52" i="6"/>
  <c r="I52" i="6"/>
  <c r="H52" i="6"/>
  <c r="G52" i="6"/>
  <c r="F52" i="6"/>
  <c r="E52" i="6"/>
  <c r="D52" i="6"/>
  <c r="C52" i="6"/>
  <c r="B52" i="6"/>
  <c r="J53" i="6"/>
  <c r="I53" i="6"/>
  <c r="H53" i="6"/>
  <c r="G53" i="6"/>
  <c r="F53" i="6"/>
  <c r="E53" i="6"/>
  <c r="D53" i="6"/>
  <c r="C53" i="6"/>
  <c r="B53" i="6"/>
  <c r="J54" i="6"/>
  <c r="I54" i="6"/>
  <c r="H54" i="6"/>
  <c r="G54" i="6"/>
  <c r="F54" i="6"/>
  <c r="E54" i="6"/>
  <c r="D54" i="6"/>
  <c r="C54" i="6"/>
  <c r="B54" i="6"/>
  <c r="J55" i="6"/>
  <c r="I55" i="6"/>
  <c r="H55" i="6"/>
  <c r="G55" i="6"/>
  <c r="F55" i="6"/>
  <c r="E55" i="6"/>
  <c r="D55" i="6"/>
  <c r="C55" i="6"/>
  <c r="B55" i="6"/>
  <c r="J56" i="6"/>
  <c r="I56" i="6"/>
  <c r="H56" i="6"/>
  <c r="G56" i="6"/>
  <c r="F56" i="6"/>
  <c r="E56" i="6"/>
  <c r="D56" i="6"/>
  <c r="C56" i="6"/>
  <c r="B56" i="6"/>
  <c r="J57" i="6"/>
  <c r="I57" i="6"/>
  <c r="H57" i="6"/>
  <c r="G57" i="6"/>
  <c r="F57" i="6"/>
  <c r="E57" i="6"/>
  <c r="D57" i="6"/>
  <c r="C57" i="6"/>
  <c r="B57" i="6"/>
  <c r="J58" i="6"/>
  <c r="I58" i="6"/>
  <c r="H58" i="6"/>
  <c r="G58" i="6"/>
  <c r="F58" i="6"/>
  <c r="E58" i="6"/>
  <c r="D58" i="6"/>
  <c r="C58" i="6"/>
  <c r="B58" i="6"/>
  <c r="J59" i="6"/>
  <c r="I59" i="6"/>
  <c r="H59" i="6"/>
  <c r="G59" i="6"/>
  <c r="F59" i="6"/>
  <c r="E59" i="6"/>
  <c r="D59" i="6"/>
  <c r="C59" i="6"/>
  <c r="B59" i="6"/>
  <c r="J60" i="6"/>
  <c r="I60" i="6"/>
  <c r="H60" i="6"/>
  <c r="G60" i="6"/>
  <c r="F60" i="6"/>
  <c r="E60" i="6"/>
  <c r="D60" i="6"/>
  <c r="C60" i="6"/>
  <c r="B60" i="6"/>
  <c r="J61" i="6"/>
  <c r="I61" i="6"/>
  <c r="H61" i="6"/>
  <c r="G61" i="6"/>
  <c r="F61" i="6"/>
  <c r="E61" i="6"/>
  <c r="D61" i="6"/>
  <c r="C61" i="6"/>
  <c r="B61" i="6"/>
  <c r="J62" i="6"/>
  <c r="I62" i="6"/>
  <c r="H62" i="6"/>
  <c r="G62" i="6"/>
  <c r="F62" i="6"/>
  <c r="E62" i="6"/>
  <c r="D62" i="6"/>
  <c r="C62" i="6"/>
  <c r="B62" i="6"/>
  <c r="J63" i="6"/>
  <c r="I63" i="6"/>
  <c r="H63" i="6"/>
  <c r="G63" i="6"/>
  <c r="F63" i="6"/>
  <c r="E63" i="6"/>
  <c r="D63" i="6"/>
  <c r="C63" i="6"/>
  <c r="B63" i="6"/>
  <c r="J64" i="6"/>
  <c r="I64" i="6"/>
  <c r="H64" i="6"/>
  <c r="G64" i="6"/>
  <c r="F64" i="6"/>
  <c r="E64" i="6"/>
  <c r="D64" i="6"/>
  <c r="C64" i="6"/>
  <c r="B64" i="6"/>
  <c r="J65" i="6"/>
  <c r="I65" i="6"/>
  <c r="H65" i="6"/>
  <c r="G65" i="6"/>
  <c r="F65" i="6"/>
  <c r="E65" i="6"/>
  <c r="D65" i="6"/>
  <c r="C65" i="6"/>
  <c r="B65" i="6"/>
  <c r="J66" i="6"/>
  <c r="I66" i="6"/>
  <c r="H66" i="6"/>
  <c r="G66" i="6"/>
  <c r="F66" i="6"/>
  <c r="E66" i="6"/>
  <c r="D66" i="6"/>
  <c r="C66" i="6"/>
  <c r="B66" i="6"/>
  <c r="J67" i="6"/>
  <c r="I67" i="6"/>
  <c r="H67" i="6"/>
  <c r="G67" i="6"/>
  <c r="F67" i="6"/>
  <c r="E67" i="6"/>
  <c r="D67" i="6"/>
  <c r="C67" i="6"/>
  <c r="B67" i="6"/>
  <c r="J68" i="6"/>
  <c r="I68" i="6"/>
  <c r="H68" i="6"/>
  <c r="G68" i="6"/>
  <c r="F68" i="6"/>
  <c r="E68" i="6"/>
  <c r="D68" i="6"/>
  <c r="C68" i="6"/>
  <c r="B68" i="6"/>
  <c r="J69" i="6"/>
  <c r="I69" i="6"/>
  <c r="H69" i="6"/>
  <c r="G69" i="6"/>
  <c r="F69" i="6"/>
  <c r="E69" i="6"/>
  <c r="D69" i="6"/>
  <c r="C69" i="6"/>
  <c r="B69" i="6"/>
  <c r="J70" i="6"/>
  <c r="I70" i="6"/>
  <c r="H70" i="6"/>
  <c r="G70" i="6"/>
  <c r="F70" i="6"/>
  <c r="E70" i="6"/>
  <c r="D70" i="6"/>
  <c r="C70" i="6"/>
  <c r="B70" i="6"/>
  <c r="J71" i="6"/>
  <c r="I71" i="6"/>
  <c r="H71" i="6"/>
  <c r="G71" i="6"/>
  <c r="F71" i="6"/>
  <c r="E71" i="6"/>
  <c r="D71" i="6"/>
  <c r="C71" i="6"/>
  <c r="B71" i="6"/>
  <c r="J72" i="6"/>
  <c r="I72" i="6"/>
  <c r="H72" i="6"/>
  <c r="G72" i="6"/>
  <c r="F72" i="6"/>
  <c r="E72" i="6"/>
  <c r="D72" i="6"/>
  <c r="C72" i="6"/>
  <c r="B72" i="6"/>
  <c r="J73" i="6"/>
  <c r="I73" i="6"/>
  <c r="H73" i="6"/>
  <c r="G73" i="6"/>
  <c r="F73" i="6"/>
  <c r="E73" i="6"/>
  <c r="D73" i="6"/>
  <c r="C73" i="6"/>
  <c r="B73" i="6"/>
  <c r="J74" i="6"/>
  <c r="I74" i="6"/>
  <c r="H74" i="6"/>
  <c r="G74" i="6"/>
  <c r="F74" i="6"/>
  <c r="E74" i="6"/>
  <c r="D74" i="6"/>
  <c r="C74" i="6"/>
  <c r="B74" i="6"/>
  <c r="J75" i="6"/>
  <c r="I75" i="6"/>
  <c r="H75" i="6"/>
  <c r="G75" i="6"/>
  <c r="F75" i="6"/>
  <c r="E75" i="6"/>
  <c r="D75" i="6"/>
  <c r="C75" i="6"/>
  <c r="B75" i="6"/>
  <c r="J76" i="6"/>
  <c r="I76" i="6"/>
  <c r="H76" i="6"/>
  <c r="G76" i="6"/>
  <c r="F76" i="6"/>
  <c r="E76" i="6"/>
  <c r="D76" i="6"/>
  <c r="C76" i="6"/>
  <c r="B76" i="6"/>
  <c r="J77" i="6"/>
  <c r="I77" i="6"/>
  <c r="H77" i="6"/>
  <c r="G77" i="6"/>
  <c r="F77" i="6"/>
  <c r="E77" i="6"/>
  <c r="D77" i="6"/>
  <c r="C77" i="6"/>
  <c r="B77" i="6"/>
  <c r="J78" i="6"/>
  <c r="I78" i="6"/>
  <c r="H78" i="6"/>
  <c r="G78" i="6"/>
  <c r="F78" i="6"/>
  <c r="E78" i="6"/>
  <c r="D78" i="6"/>
  <c r="C78" i="6"/>
  <c r="B78" i="6"/>
  <c r="J79" i="6"/>
  <c r="I79" i="6"/>
  <c r="H79" i="6"/>
  <c r="G79" i="6"/>
  <c r="F79" i="6"/>
  <c r="E79" i="6"/>
  <c r="D79" i="6"/>
  <c r="C79" i="6"/>
  <c r="B79" i="6"/>
  <c r="J80" i="6"/>
  <c r="I80" i="6"/>
  <c r="H80" i="6"/>
  <c r="G80" i="6"/>
  <c r="F80" i="6"/>
  <c r="E80" i="6"/>
  <c r="D80" i="6"/>
  <c r="C80" i="6"/>
  <c r="B80" i="6"/>
  <c r="J81" i="6"/>
  <c r="I81" i="6"/>
  <c r="H81" i="6"/>
  <c r="G81" i="6"/>
  <c r="F81" i="6"/>
  <c r="E81" i="6"/>
  <c r="D81" i="6"/>
  <c r="C81" i="6"/>
  <c r="B81" i="6"/>
  <c r="J82" i="6"/>
  <c r="I82" i="6"/>
  <c r="H82" i="6"/>
  <c r="G82" i="6"/>
  <c r="F82" i="6"/>
  <c r="E82" i="6"/>
  <c r="D82" i="6"/>
  <c r="C82" i="6"/>
  <c r="B82" i="6"/>
  <c r="J83" i="6"/>
  <c r="I83" i="6"/>
  <c r="H83" i="6"/>
  <c r="G83" i="6"/>
  <c r="F83" i="6"/>
  <c r="E83" i="6"/>
  <c r="D83" i="6"/>
  <c r="C83" i="6"/>
  <c r="B83" i="6"/>
  <c r="J84" i="6"/>
  <c r="I84" i="6"/>
  <c r="H84" i="6"/>
  <c r="G84" i="6"/>
  <c r="F84" i="6"/>
  <c r="E84" i="6"/>
  <c r="D84" i="6"/>
  <c r="C84" i="6"/>
  <c r="B84" i="6"/>
  <c r="J85" i="6"/>
  <c r="I85" i="6"/>
  <c r="H85" i="6"/>
  <c r="G85" i="6"/>
  <c r="F85" i="6"/>
  <c r="E85" i="6"/>
  <c r="D85" i="6"/>
  <c r="C85" i="6"/>
  <c r="B85" i="6"/>
  <c r="J86" i="6"/>
  <c r="I86" i="6"/>
  <c r="H86" i="6"/>
  <c r="G86" i="6"/>
  <c r="F86" i="6"/>
  <c r="E86" i="6"/>
  <c r="D86" i="6"/>
  <c r="C86" i="6"/>
  <c r="B86" i="6"/>
  <c r="J87" i="6"/>
  <c r="I87" i="6"/>
  <c r="H87" i="6"/>
  <c r="G87" i="6"/>
  <c r="F87" i="6"/>
  <c r="E87" i="6"/>
  <c r="D87" i="6"/>
  <c r="C87" i="6"/>
  <c r="B87" i="6"/>
  <c r="J88" i="6"/>
  <c r="I88" i="6"/>
  <c r="H88" i="6"/>
  <c r="G88" i="6"/>
  <c r="F88" i="6"/>
  <c r="E88" i="6"/>
  <c r="D88" i="6"/>
  <c r="C88" i="6"/>
  <c r="B88" i="6"/>
  <c r="J89" i="6"/>
  <c r="I89" i="6"/>
  <c r="H89" i="6"/>
  <c r="G89" i="6"/>
  <c r="F89" i="6"/>
  <c r="E89" i="6"/>
  <c r="D89" i="6"/>
  <c r="C89" i="6"/>
  <c r="B89" i="6"/>
  <c r="J90" i="6"/>
  <c r="I90" i="6"/>
  <c r="H90" i="6"/>
  <c r="G90" i="6"/>
  <c r="F90" i="6"/>
  <c r="E90" i="6"/>
  <c r="D90" i="6"/>
  <c r="C90" i="6"/>
  <c r="B90" i="6"/>
  <c r="J91" i="6"/>
  <c r="I91" i="6"/>
  <c r="H91" i="6"/>
  <c r="G91" i="6"/>
  <c r="F91" i="6"/>
  <c r="E91" i="6"/>
  <c r="D91" i="6"/>
  <c r="C91" i="6"/>
  <c r="B91" i="6"/>
  <c r="J92" i="6"/>
  <c r="I92" i="6"/>
  <c r="H92" i="6"/>
  <c r="G92" i="6"/>
  <c r="F92" i="6"/>
  <c r="E92" i="6"/>
  <c r="D92" i="6"/>
  <c r="C92" i="6"/>
  <c r="B92" i="6"/>
  <c r="J93" i="6"/>
  <c r="I93" i="6"/>
  <c r="H93" i="6"/>
  <c r="G93" i="6"/>
  <c r="F93" i="6"/>
  <c r="E93" i="6"/>
  <c r="D93" i="6"/>
  <c r="C93" i="6"/>
  <c r="B93" i="6"/>
  <c r="J94" i="6"/>
  <c r="I94" i="6"/>
  <c r="H94" i="6"/>
  <c r="G94" i="6"/>
  <c r="F94" i="6"/>
  <c r="E94" i="6"/>
  <c r="D94" i="6"/>
  <c r="C94" i="6"/>
  <c r="B94" i="6"/>
  <c r="J95" i="6"/>
  <c r="I95" i="6"/>
  <c r="H95" i="6"/>
  <c r="G95" i="6"/>
  <c r="F95" i="6"/>
  <c r="E95" i="6"/>
  <c r="D95" i="6"/>
  <c r="C95" i="6"/>
  <c r="B95" i="6"/>
  <c r="J96" i="6"/>
  <c r="I96" i="6"/>
  <c r="H96" i="6"/>
  <c r="G96" i="6"/>
  <c r="F96" i="6"/>
  <c r="E96" i="6"/>
  <c r="D96" i="6"/>
  <c r="C96" i="6"/>
  <c r="B96" i="6"/>
  <c r="J97" i="6"/>
  <c r="I97" i="6"/>
  <c r="H97" i="6"/>
  <c r="G97" i="6"/>
  <c r="F97" i="6"/>
  <c r="E97" i="6"/>
  <c r="D97" i="6"/>
  <c r="C97" i="6"/>
  <c r="B97" i="6"/>
  <c r="J98" i="6"/>
  <c r="I98" i="6"/>
  <c r="H98" i="6"/>
  <c r="G98" i="6"/>
  <c r="F98" i="6"/>
  <c r="E98" i="6"/>
  <c r="D98" i="6"/>
  <c r="C98" i="6"/>
  <c r="B98" i="6"/>
  <c r="J99" i="6"/>
  <c r="I99" i="6"/>
  <c r="H99" i="6"/>
  <c r="G99" i="6"/>
  <c r="F99" i="6"/>
  <c r="E99" i="6"/>
  <c r="D99" i="6"/>
  <c r="C99" i="6"/>
  <c r="B99" i="6"/>
  <c r="J100" i="6"/>
  <c r="I100" i="6"/>
  <c r="H100" i="6"/>
  <c r="G100" i="6"/>
  <c r="F100" i="6"/>
  <c r="E100" i="6"/>
  <c r="D100" i="6"/>
  <c r="C100" i="6"/>
  <c r="B100" i="6"/>
  <c r="J101" i="6"/>
  <c r="I101" i="6"/>
  <c r="H101" i="6"/>
  <c r="G101" i="6"/>
  <c r="F101" i="6"/>
  <c r="E101" i="6"/>
  <c r="D101" i="6"/>
  <c r="C101" i="6"/>
  <c r="B101" i="6"/>
  <c r="J102" i="6"/>
  <c r="I102" i="6"/>
  <c r="H102" i="6"/>
  <c r="G102" i="6"/>
  <c r="F102" i="6"/>
  <c r="E102" i="6"/>
  <c r="D102" i="6"/>
  <c r="C102" i="6"/>
  <c r="B102" i="6"/>
  <c r="J103" i="6"/>
  <c r="I103" i="6"/>
  <c r="H103" i="6"/>
  <c r="G103" i="6"/>
  <c r="F103" i="6"/>
  <c r="E103" i="6"/>
  <c r="D103" i="6"/>
  <c r="C103" i="6"/>
  <c r="B103" i="6"/>
  <c r="H15" i="6" l="1"/>
  <c r="H26" i="6"/>
  <c r="H19" i="6"/>
  <c r="H8" i="6"/>
  <c r="H13" i="6"/>
  <c r="H10" i="6"/>
  <c r="H33" i="6"/>
  <c r="H31" i="6"/>
  <c r="H25" i="6"/>
  <c r="H24" i="6"/>
  <c r="H32" i="6"/>
  <c r="H21" i="6"/>
  <c r="H4" i="6"/>
  <c r="H27" i="6"/>
  <c r="H23" i="6"/>
  <c r="H12" i="6"/>
  <c r="H17" i="6"/>
  <c r="H29" i="6"/>
  <c r="H18" i="6"/>
  <c r="H7" i="6"/>
  <c r="H28" i="6"/>
  <c r="H20" i="6"/>
  <c r="H9" i="6"/>
</calcChain>
</file>

<file path=xl/sharedStrings.xml><?xml version="1.0" encoding="utf-8"?>
<sst xmlns="http://schemas.openxmlformats.org/spreadsheetml/2006/main" count="560" uniqueCount="296">
  <si>
    <t>MK Thunder Stats – Excel Control Workbook</t>
  </si>
  <si>
    <t>How to use it</t>
  </si>
  <si>
    <t>1</t>
  </si>
  <si>
    <t>Players</t>
  </si>
  <si>
    <t>Add each player once. Keep the Player ID unique.</t>
  </si>
  <si>
    <t>2</t>
  </si>
  <si>
    <t>Games</t>
  </si>
  <si>
    <t>Add each Thunder game once with a Game ID such as 2026-001.</t>
  </si>
  <si>
    <t>3</t>
  </si>
  <si>
    <t>Player Game Stats</t>
  </si>
  <si>
    <t>After each game, add one row per player who dressed.</t>
  </si>
  <si>
    <t>4</t>
  </si>
  <si>
    <t>Netminder Stats</t>
  </si>
  <si>
    <t>Enter netminder game figures when applicable.</t>
  </si>
  <si>
    <t>5</t>
  </si>
  <si>
    <t>Dashboard</t>
  </si>
  <si>
    <t>Season totals calculate automatically.</t>
  </si>
  <si>
    <t>Tip</t>
  </si>
  <si>
    <t>Edit the input tabs only.</t>
  </si>
  <si>
    <t>Green cells contain formulas.</t>
  </si>
  <si>
    <t xml:space="preserve">Teams </t>
  </si>
  <si>
    <t>Team ID</t>
  </si>
  <si>
    <t>Team Name</t>
  </si>
  <si>
    <t>Short name</t>
  </si>
  <si>
    <t>Logo file</t>
  </si>
  <si>
    <t>Rink</t>
  </si>
  <si>
    <t>City</t>
  </si>
  <si>
    <t>Website</t>
  </si>
  <si>
    <t>Active?</t>
  </si>
  <si>
    <t>T001</t>
  </si>
  <si>
    <t>Milton keynes Thunder</t>
  </si>
  <si>
    <t>MK Thunder</t>
  </si>
  <si>
    <t>thunder-logo.png</t>
  </si>
  <si>
    <t>Planet ice Milton Keynes</t>
  </si>
  <si>
    <t>Milton Keynes</t>
  </si>
  <si>
    <t>https://thundericehockey.co.uk/</t>
  </si>
  <si>
    <t>Yes</t>
  </si>
  <si>
    <t>T002</t>
  </si>
  <si>
    <t xml:space="preserve">Deeside Dragons </t>
  </si>
  <si>
    <t>Deeside</t>
  </si>
  <si>
    <t>dragons.png</t>
  </si>
  <si>
    <t>Deeside Ice Arena</t>
  </si>
  <si>
    <t>T003</t>
  </si>
  <si>
    <t>Romford Buccaneers</t>
  </si>
  <si>
    <t>Romford</t>
  </si>
  <si>
    <t>romford.png</t>
  </si>
  <si>
    <t>Sapphire Ice and Leisure Centre</t>
  </si>
  <si>
    <t>T004</t>
  </si>
  <si>
    <t>Chelmsford Warriors</t>
  </si>
  <si>
    <t>Chelmsford</t>
  </si>
  <si>
    <t>Chelmsford.png</t>
  </si>
  <si>
    <t>Riverside Leisure Centre</t>
  </si>
  <si>
    <t>T005</t>
  </si>
  <si>
    <t>Invicta Mustangs</t>
  </si>
  <si>
    <t>Invicta</t>
  </si>
  <si>
    <t>invicta.png</t>
  </si>
  <si>
    <t>Planet Ice Gillingham</t>
  </si>
  <si>
    <t>Gillingham</t>
  </si>
  <si>
    <t>T006</t>
  </si>
  <si>
    <t>Guildford Phoenix</t>
  </si>
  <si>
    <t>Guildford</t>
  </si>
  <si>
    <t>guildford.png</t>
  </si>
  <si>
    <t>Guildford Spectrum</t>
  </si>
  <si>
    <t>T007</t>
  </si>
  <si>
    <t>Peterborough Phantoms 2</t>
  </si>
  <si>
    <t>Peterborough</t>
  </si>
  <si>
    <t>Peterborough.png</t>
  </si>
  <si>
    <t>Planet Ice Peterborough</t>
  </si>
  <si>
    <t>T008</t>
  </si>
  <si>
    <t>Haringey Huskies</t>
  </si>
  <si>
    <t>Haringey</t>
  </si>
  <si>
    <t>haringey.png</t>
  </si>
  <si>
    <t>Alexandra Palace Ice Rink</t>
  </si>
  <si>
    <t>London</t>
  </si>
  <si>
    <t>T009</t>
  </si>
  <si>
    <t>Cardiff Canucks</t>
  </si>
  <si>
    <t>Carfiff</t>
  </si>
  <si>
    <t>cardiff.png</t>
  </si>
  <si>
    <t>Vindico Arena</t>
  </si>
  <si>
    <t>Cardiff</t>
  </si>
  <si>
    <t>T010</t>
  </si>
  <si>
    <t>Oxford Stars</t>
  </si>
  <si>
    <t>Oxford</t>
  </si>
  <si>
    <t>oxford.png</t>
  </si>
  <si>
    <t>Oxford Ice Rink</t>
  </si>
  <si>
    <t>T011</t>
  </si>
  <si>
    <t>Bristol Pitbulls 2</t>
  </si>
  <si>
    <t>Bristol</t>
  </si>
  <si>
    <t>bristol.png</t>
  </si>
  <si>
    <t>Planet Ice Bristol</t>
  </si>
  <si>
    <t>T012</t>
  </si>
  <si>
    <t>Slough Spitfires</t>
  </si>
  <si>
    <t>Slough</t>
  </si>
  <si>
    <t>slough.png</t>
  </si>
  <si>
    <t>Slough Ice Arena</t>
  </si>
  <si>
    <t>T013</t>
  </si>
  <si>
    <t>Solent Junior Devils</t>
  </si>
  <si>
    <t>Solent</t>
  </si>
  <si>
    <t>solent.png</t>
  </si>
  <si>
    <t>Planet Ice Gosport</t>
  </si>
  <si>
    <t>Gosport</t>
  </si>
  <si>
    <t>T014</t>
  </si>
  <si>
    <t>Lee Valley Lions</t>
  </si>
  <si>
    <t>Lee Valley</t>
  </si>
  <si>
    <t>lee.png</t>
  </si>
  <si>
    <t>Lee Valley Ice Centre</t>
  </si>
  <si>
    <t>T015</t>
  </si>
  <si>
    <t>Basingstoke Bison 2</t>
  </si>
  <si>
    <t>Basingstoke</t>
  </si>
  <si>
    <t>basingstoke.png</t>
  </si>
  <si>
    <t>Planet Ice Basingstoke</t>
  </si>
  <si>
    <t>Player ID</t>
  </si>
  <si>
    <t>Name</t>
  </si>
  <si>
    <t>Number</t>
  </si>
  <si>
    <t>Position</t>
  </si>
  <si>
    <t>Photo / URL</t>
  </si>
  <si>
    <t>Notes</t>
  </si>
  <si>
    <t>P001</t>
  </si>
  <si>
    <t>Sam Peters</t>
  </si>
  <si>
    <t>Forward</t>
  </si>
  <si>
    <t>Peters.png</t>
  </si>
  <si>
    <t>P002</t>
  </si>
  <si>
    <t>Marks Kanins</t>
  </si>
  <si>
    <t>marks.png</t>
  </si>
  <si>
    <t>P003</t>
  </si>
  <si>
    <t>Dominic Wealthall</t>
  </si>
  <si>
    <t>Defence</t>
  </si>
  <si>
    <t>dom.png</t>
  </si>
  <si>
    <t>Captain</t>
  </si>
  <si>
    <t>P004</t>
  </si>
  <si>
    <t>Aaron Burton</t>
  </si>
  <si>
    <t>Netminder</t>
  </si>
  <si>
    <t>arron.png</t>
  </si>
  <si>
    <t>P005</t>
  </si>
  <si>
    <t>Charlie Russell</t>
  </si>
  <si>
    <t>russell.png</t>
  </si>
  <si>
    <t>P006</t>
  </si>
  <si>
    <t>Lewis Smith</t>
  </si>
  <si>
    <t>smith.png</t>
  </si>
  <si>
    <t>P007</t>
  </si>
  <si>
    <t>Robert Oxley</t>
  </si>
  <si>
    <t>rob.png</t>
  </si>
  <si>
    <t>P008</t>
  </si>
  <si>
    <t>Madi Wright</t>
  </si>
  <si>
    <t>madi.png</t>
  </si>
  <si>
    <t>P009</t>
  </si>
  <si>
    <t>Lizzie Nowik</t>
  </si>
  <si>
    <t>lizzie.png</t>
  </si>
  <si>
    <t>P010</t>
  </si>
  <si>
    <t>Nicole Jackson</t>
  </si>
  <si>
    <t>nicole.png</t>
  </si>
  <si>
    <t>P011</t>
  </si>
  <si>
    <t>Xander Robinson</t>
  </si>
  <si>
    <t>robinson.png</t>
  </si>
  <si>
    <t>P012</t>
  </si>
  <si>
    <t>Joshua Blackwood</t>
  </si>
  <si>
    <t>Josh.png</t>
  </si>
  <si>
    <t>P013</t>
  </si>
  <si>
    <t>Harry MacGarvery</t>
  </si>
  <si>
    <t>macGarvey.png</t>
  </si>
  <si>
    <t>P014</t>
  </si>
  <si>
    <t>Chalie Conroy</t>
  </si>
  <si>
    <t>conroy.png</t>
  </si>
  <si>
    <t>P015</t>
  </si>
  <si>
    <t>Oliver Broyd</t>
  </si>
  <si>
    <t>P016</t>
  </si>
  <si>
    <t>Connor Mellett</t>
  </si>
  <si>
    <t>mellett.png</t>
  </si>
  <si>
    <t>P017</t>
  </si>
  <si>
    <t>Hayden Hagger</t>
  </si>
  <si>
    <t>hagger.png</t>
  </si>
  <si>
    <t>P018</t>
  </si>
  <si>
    <t>Sam Purcell</t>
  </si>
  <si>
    <t>purcell.png</t>
  </si>
  <si>
    <t>P019</t>
  </si>
  <si>
    <t>Samuel Rickard</t>
  </si>
  <si>
    <t>rickard.png</t>
  </si>
  <si>
    <t>P020</t>
  </si>
  <si>
    <t>Oscar Lee</t>
  </si>
  <si>
    <t>oscar.png</t>
  </si>
  <si>
    <t>P021</t>
  </si>
  <si>
    <t>Jacob Maidment</t>
  </si>
  <si>
    <t>maidment.png</t>
  </si>
  <si>
    <t>P022</t>
  </si>
  <si>
    <t>Corey Taylor</t>
  </si>
  <si>
    <t>taylor.png</t>
  </si>
  <si>
    <t>P023</t>
  </si>
  <si>
    <t>James Bryan</t>
  </si>
  <si>
    <t>bryan.png</t>
  </si>
  <si>
    <t>P024</t>
  </si>
  <si>
    <t>Josh Furnell</t>
  </si>
  <si>
    <t>furnell.png</t>
  </si>
  <si>
    <t>P025</t>
  </si>
  <si>
    <t>Josh Hickman</t>
  </si>
  <si>
    <t>hickman.png</t>
  </si>
  <si>
    <t>P026</t>
  </si>
  <si>
    <t>Ryan Wonfor</t>
  </si>
  <si>
    <t>wonfor.png</t>
  </si>
  <si>
    <t>P027</t>
  </si>
  <si>
    <t>Charles Coney</t>
  </si>
  <si>
    <t>coney.png</t>
  </si>
  <si>
    <t>P028</t>
  </si>
  <si>
    <t>Will Nowik</t>
  </si>
  <si>
    <t>nowik.png</t>
  </si>
  <si>
    <t>P029</t>
  </si>
  <si>
    <t>James Moeller</t>
  </si>
  <si>
    <t>moeller.png</t>
  </si>
  <si>
    <t>P030</t>
  </si>
  <si>
    <t>Cass  McCormack</t>
  </si>
  <si>
    <t>Game ID</t>
  </si>
  <si>
    <t>Date</t>
  </si>
  <si>
    <t>Face-off</t>
  </si>
  <si>
    <t>Opponent ID</t>
  </si>
  <si>
    <t>H/A</t>
  </si>
  <si>
    <t>Competition</t>
  </si>
  <si>
    <t>Thunder Score</t>
  </si>
  <si>
    <t>Opponent Score</t>
  </si>
  <si>
    <t>Result</t>
  </si>
  <si>
    <t>OT/SO?</t>
  </si>
  <si>
    <t>Venue</t>
  </si>
  <si>
    <t>Status</t>
  </si>
  <si>
    <t>G001</t>
  </si>
  <si>
    <t>A</t>
  </si>
  <si>
    <t>Pre-season</t>
  </si>
  <si>
    <t>Upcoming</t>
  </si>
  <si>
    <t>G002</t>
  </si>
  <si>
    <t>G003</t>
  </si>
  <si>
    <t>H</t>
  </si>
  <si>
    <t>League/Cup</t>
  </si>
  <si>
    <t>Planet Ice Milton Keynes</t>
  </si>
  <si>
    <t>G004</t>
  </si>
  <si>
    <t>G005</t>
  </si>
  <si>
    <t>League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</si>
  <si>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</si>
  <si>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</si>
  <si>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</si>
  <si>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</si>
  <si>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</si>
  <si>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</si>
  <si>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</si>
  <si>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</si>
  <si>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</si>
  <si>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</si>
  <si>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</si>
  <si>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</si>
  <si>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</si>
  <si>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</si>
  <si>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</si>
  <si>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</si>
  <si>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</si>
  <si>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</si>
  <si>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</si>
  <si>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</si>
  <si>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</si>
  <si>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Player Game Stats – one row per player per game</t>
  </si>
  <si>
    <t>Player Name</t>
  </si>
  <si>
    <t>Dressed?</t>
  </si>
  <si>
    <t>Goals</t>
  </si>
  <si>
    <t>Assists</t>
  </si>
  <si>
    <t>Points</t>
  </si>
  <si>
    <t>PIM</t>
  </si>
  <si>
    <t>+/-</t>
  </si>
  <si>
    <t>Netminder Game Stats</t>
  </si>
  <si>
    <t>Minutes</t>
  </si>
  <si>
    <t>Shots Against</t>
  </si>
  <si>
    <t>Goals Against</t>
  </si>
  <si>
    <t>Saves</t>
  </si>
  <si>
    <t>Save %</t>
  </si>
  <si>
    <t>Shutout?</t>
  </si>
  <si>
    <t>Decision</t>
  </si>
  <si>
    <t>League Table</t>
  </si>
  <si>
    <t>Team</t>
  </si>
  <si>
    <t>GP</t>
  </si>
  <si>
    <t>W</t>
  </si>
  <si>
    <t>OTW</t>
  </si>
  <si>
    <t>OTL</t>
  </si>
  <si>
    <t>L</t>
  </si>
  <si>
    <t>GF</t>
  </si>
  <si>
    <t>GA</t>
  </si>
  <si>
    <t>GD</t>
  </si>
  <si>
    <t>PTS</t>
  </si>
  <si>
    <t>Cup Table</t>
  </si>
  <si>
    <t>MK Thunder Season Player Totals</t>
  </si>
  <si>
    <t>Team KPIs</t>
  </si>
  <si>
    <t>Value</t>
  </si>
  <si>
    <t>Player</t>
  </si>
  <si>
    <t>#</t>
  </si>
  <si>
    <t>Pos</t>
  </si>
  <si>
    <t>G</t>
  </si>
  <si>
    <t>Games entered</t>
  </si>
  <si>
    <t>Goals scored</t>
  </si>
  <si>
    <t>Goals against</t>
  </si>
  <si>
    <t>Wins</t>
  </si>
  <si>
    <t>Losses</t>
  </si>
  <si>
    <t>OT</t>
  </si>
  <si>
    <t>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</si>
</sst>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3">
    <font>
      <sz val="11"/>
      <name val="Carlito"/>
    </font>
    <font>
      <b/>
      <sz val="16"/>
      <color rgb="FFFFFFFF"/>
      <name val="Carlito"/>
    </font>
    <font>
      <b/>
      <sz val="11"/>
      <color rgb="FF0B1F26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B1F26"/>
      </patternFill>
    </fill>
    <fill>
      <patternFill patternType="solid">
        <fgColor rgb="FF1EC7D9"/>
      </patternFill>
    </fill>
    <fill>
      <patternFill patternType="solid">
        <fgColor rgb="FFEAF7F9"/>
      </patternFill>
    </fill>
    <fill>
      <patternFill patternType="solid">
        <fgColor rgb="FFDDF4E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/>
    <xf numFmtId="164" fontId="0" fillId="4" borderId="1" xfId="0" applyNumberFormat="1" applyFill="1" applyBorder="1"/>
    <xf numFmtId="165" fontId="0" fillId="5" borderId="1" xfId="0" applyNumberFormat="1" applyFill="1" applyBorder="1"/>
    <xf numFmtId="0" fontId="2" fillId="3" borderId="2" xfId="0" applyFont="1" applyFill="1" applyBorder="1" applyAlignment="1">
      <alignment horizontal="center" vertical="center" wrapText="1"/>
    </xf>
    <xf numFmtId="0" fontId="0" fillId="4" borderId="2" xfId="0" applyFill="1" applyBorder="1"/>
    <xf numFmtId="15" fontId="0" fillId="4" borderId="2" xfId="0" applyNumberFormat="1" applyFill="1" applyBorder="1"/>
    <xf numFmtId="20" fontId="0" fillId="4" borderId="2" xfId="0" applyNumberFormat="1" applyFill="1" applyBorder="1"/>
    <xf numFmtId="0" fontId="0" fillId="5" borderId="2" xfId="0" applyFill="1" applyBorder="1"/>
    <xf numFmtId="165" fontId="0" fillId="5" borderId="2" xfId="0" applyNumberFormat="1" applyFill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vertical="center"/>
    </xf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0" borderId="5" xfId="0" applyBorder="1"/>
    <xf numFmtId="46" fontId="0" fillId="4" borderId="2" xfId="0" applyNumberFormat="1" applyFill="1" applyBorder="1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zoomScaleNormal="100" zoomScaleSheetLayoutView="100" workbookViewId="0">
      <selection sqref="A1:F1"/>
    </sheetView>
  </sheetViews>
  <sheetFormatPr defaultRowHeight="14.25"/>
  <cols>
    <col min="1" max="1" width="10" customWidth="1"/>
    <col min="2" max="2" width="22" customWidth="1"/>
    <col min="3" max="3" width="58" customWidth="1"/>
  </cols>
  <sheetData>
    <row r="1" spans="1:6" ht="20.25">
      <c r="A1" s="22" t="s">
        <v>0</v>
      </c>
      <c r="B1" s="22"/>
      <c r="C1" s="22"/>
      <c r="D1" s="22"/>
      <c r="E1" s="22"/>
      <c r="F1" s="22"/>
    </row>
    <row r="3" spans="1:6" ht="30">
      <c r="A3" s="1" t="s">
        <v>1</v>
      </c>
      <c r="B3" s="1"/>
      <c r="C3" s="1"/>
      <c r="D3" s="1"/>
      <c r="E3" s="1"/>
      <c r="F3" s="1"/>
    </row>
    <row r="4" spans="1:6">
      <c r="A4" t="s">
        <v>2</v>
      </c>
      <c r="B4" t="s">
        <v>3</v>
      </c>
      <c r="C4" t="s">
        <v>4</v>
      </c>
    </row>
    <row r="5" spans="1:6">
      <c r="A5" t="s">
        <v>5</v>
      </c>
      <c r="B5" t="s">
        <v>6</v>
      </c>
      <c r="C5" t="s">
        <v>7</v>
      </c>
    </row>
    <row r="6" spans="1:6">
      <c r="A6" t="s">
        <v>8</v>
      </c>
      <c r="B6" t="s">
        <v>9</v>
      </c>
      <c r="C6" t="s">
        <v>10</v>
      </c>
    </row>
    <row r="7" spans="1:6">
      <c r="A7" t="s">
        <v>11</v>
      </c>
      <c r="B7" t="s">
        <v>12</v>
      </c>
      <c r="C7" t="s">
        <v>13</v>
      </c>
    </row>
    <row r="8" spans="1:6">
      <c r="A8" t="s">
        <v>14</v>
      </c>
      <c r="B8" t="s">
        <v>15</v>
      </c>
      <c r="C8" t="s">
        <v>16</v>
      </c>
    </row>
    <row r="9" spans="1:6">
      <c r="A9" t="s">
        <v>17</v>
      </c>
      <c r="B9" t="s">
        <v>18</v>
      </c>
      <c r="C9" t="s">
        <v>19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7D79C-AB59-4FBE-9038-D5838636691B}">
  <dimension ref="A1:H200"/>
  <sheetViews>
    <sheetView zoomScaleNormal="100" zoomScaleSheetLayoutView="100" workbookViewId="0">
      <selection activeCell="C22" sqref="C22"/>
    </sheetView>
  </sheetViews>
  <sheetFormatPr defaultRowHeight="14.25"/>
  <cols>
    <col min="1" max="1" width="8.5" customWidth="1"/>
    <col min="2" max="2" width="21" bestFit="1" customWidth="1"/>
    <col min="3" max="3" width="15.25" bestFit="1" customWidth="1"/>
    <col min="4" max="4" width="15.875" bestFit="1" customWidth="1"/>
    <col min="5" max="5" width="21.5" bestFit="1" customWidth="1"/>
    <col min="6" max="6" width="12.75" bestFit="1" customWidth="1"/>
    <col min="7" max="7" width="22.625" customWidth="1"/>
  </cols>
  <sheetData>
    <row r="1" spans="1:8" ht="20.25">
      <c r="A1" s="22" t="s">
        <v>20</v>
      </c>
      <c r="B1" s="22"/>
      <c r="C1" s="22"/>
      <c r="D1" s="22"/>
      <c r="E1" s="22"/>
      <c r="F1" s="22"/>
      <c r="G1" s="22"/>
      <c r="H1" s="16"/>
    </row>
    <row r="3" spans="1:8" ht="15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</row>
    <row r="4" spans="1:8">
      <c r="A4" s="7" t="s">
        <v>29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36</v>
      </c>
    </row>
    <row r="5" spans="1:8">
      <c r="A5" s="7" t="s">
        <v>37</v>
      </c>
      <c r="B5" s="7" t="s">
        <v>38</v>
      </c>
      <c r="C5" s="7" t="s">
        <v>39</v>
      </c>
      <c r="D5" s="7" t="s">
        <v>40</v>
      </c>
      <c r="E5" s="7" t="s">
        <v>41</v>
      </c>
      <c r="F5" s="7" t="s">
        <v>39</v>
      </c>
      <c r="G5" s="7"/>
      <c r="H5" s="7" t="s">
        <v>36</v>
      </c>
    </row>
    <row r="6" spans="1:8">
      <c r="A6" s="7" t="s">
        <v>42</v>
      </c>
      <c r="B6" s="7" t="s">
        <v>43</v>
      </c>
      <c r="C6" s="7" t="s">
        <v>44</v>
      </c>
      <c r="D6" s="7" t="s">
        <v>45</v>
      </c>
      <c r="E6" s="7" t="s">
        <v>46</v>
      </c>
      <c r="F6" s="7" t="s">
        <v>44</v>
      </c>
      <c r="G6" s="7"/>
      <c r="H6" s="7" t="s">
        <v>36</v>
      </c>
    </row>
    <row r="7" spans="1:8">
      <c r="A7" s="7" t="s">
        <v>47</v>
      </c>
      <c r="B7" s="7" t="s">
        <v>48</v>
      </c>
      <c r="C7" s="7" t="s">
        <v>49</v>
      </c>
      <c r="D7" s="7" t="s">
        <v>50</v>
      </c>
      <c r="E7" s="7" t="s">
        <v>51</v>
      </c>
      <c r="F7" s="7" t="s">
        <v>49</v>
      </c>
      <c r="G7" s="7"/>
      <c r="H7" s="7" t="s">
        <v>36</v>
      </c>
    </row>
    <row r="8" spans="1:8">
      <c r="A8" s="7" t="s">
        <v>52</v>
      </c>
      <c r="B8" s="7" t="s">
        <v>53</v>
      </c>
      <c r="C8" s="7" t="s">
        <v>54</v>
      </c>
      <c r="D8" s="7" t="s">
        <v>55</v>
      </c>
      <c r="E8" s="7" t="s">
        <v>56</v>
      </c>
      <c r="F8" s="7" t="s">
        <v>57</v>
      </c>
      <c r="G8" s="7"/>
      <c r="H8" s="7" t="s">
        <v>36</v>
      </c>
    </row>
    <row r="9" spans="1:8">
      <c r="A9" s="7" t="s">
        <v>58</v>
      </c>
      <c r="B9" s="7" t="s">
        <v>59</v>
      </c>
      <c r="C9" s="7" t="s">
        <v>60</v>
      </c>
      <c r="D9" s="7" t="s">
        <v>61</v>
      </c>
      <c r="E9" s="7" t="s">
        <v>62</v>
      </c>
      <c r="F9" s="7" t="s">
        <v>60</v>
      </c>
      <c r="G9" s="7"/>
      <c r="H9" s="7" t="s">
        <v>36</v>
      </c>
    </row>
    <row r="10" spans="1:8">
      <c r="A10" s="7" t="s">
        <v>63</v>
      </c>
      <c r="B10" s="7" t="s">
        <v>64</v>
      </c>
      <c r="C10" s="7" t="s">
        <v>65</v>
      </c>
      <c r="D10" s="7" t="s">
        <v>66</v>
      </c>
      <c r="E10" s="7" t="s">
        <v>67</v>
      </c>
      <c r="F10" s="7" t="s">
        <v>65</v>
      </c>
      <c r="G10" s="7"/>
      <c r="H10" s="7" t="s">
        <v>36</v>
      </c>
    </row>
    <row r="11" spans="1:8">
      <c r="A11" s="7" t="s">
        <v>68</v>
      </c>
      <c r="B11" s="7" t="s">
        <v>69</v>
      </c>
      <c r="C11" s="7" t="s">
        <v>70</v>
      </c>
      <c r="D11" s="7" t="s">
        <v>71</v>
      </c>
      <c r="E11" s="7" t="s">
        <v>72</v>
      </c>
      <c r="F11" s="7" t="s">
        <v>73</v>
      </c>
      <c r="G11" s="7"/>
      <c r="H11" s="7" t="s">
        <v>36</v>
      </c>
    </row>
    <row r="12" spans="1:8">
      <c r="A12" s="7" t="s">
        <v>74</v>
      </c>
      <c r="B12" s="7" t="s">
        <v>75</v>
      </c>
      <c r="C12" s="7" t="s">
        <v>76</v>
      </c>
      <c r="D12" s="7" t="s">
        <v>77</v>
      </c>
      <c r="E12" s="7" t="s">
        <v>78</v>
      </c>
      <c r="F12" s="7" t="s">
        <v>79</v>
      </c>
      <c r="G12" s="7"/>
      <c r="H12" s="7" t="s">
        <v>36</v>
      </c>
    </row>
    <row r="13" spans="1:8">
      <c r="A13" s="7" t="s">
        <v>80</v>
      </c>
      <c r="B13" s="7" t="s">
        <v>81</v>
      </c>
      <c r="C13" s="7" t="s">
        <v>82</v>
      </c>
      <c r="D13" s="7" t="s">
        <v>83</v>
      </c>
      <c r="E13" s="7" t="s">
        <v>84</v>
      </c>
      <c r="F13" s="7" t="s">
        <v>82</v>
      </c>
      <c r="G13" s="7"/>
      <c r="H13" s="7" t="s">
        <v>36</v>
      </c>
    </row>
    <row r="14" spans="1:8">
      <c r="A14" s="7" t="s">
        <v>85</v>
      </c>
      <c r="B14" s="7" t="s">
        <v>86</v>
      </c>
      <c r="C14" s="7" t="s">
        <v>87</v>
      </c>
      <c r="D14" s="7" t="s">
        <v>88</v>
      </c>
      <c r="E14" s="7" t="s">
        <v>89</v>
      </c>
      <c r="F14" s="7" t="s">
        <v>87</v>
      </c>
      <c r="G14" s="7"/>
      <c r="H14" s="7" t="s">
        <v>36</v>
      </c>
    </row>
    <row r="15" spans="1:8">
      <c r="A15" s="7" t="s">
        <v>90</v>
      </c>
      <c r="B15" s="7" t="s">
        <v>91</v>
      </c>
      <c r="C15" s="7" t="s">
        <v>92</v>
      </c>
      <c r="D15" s="7" t="s">
        <v>93</v>
      </c>
      <c r="E15" s="7" t="s">
        <v>94</v>
      </c>
      <c r="F15" s="7" t="s">
        <v>92</v>
      </c>
      <c r="G15" s="7"/>
      <c r="H15" s="7" t="s">
        <v>36</v>
      </c>
    </row>
    <row r="16" spans="1:8">
      <c r="A16" s="7" t="s">
        <v>95</v>
      </c>
      <c r="B16" s="7" t="s">
        <v>96</v>
      </c>
      <c r="C16" s="7" t="s">
        <v>97</v>
      </c>
      <c r="D16" s="7" t="s">
        <v>98</v>
      </c>
      <c r="E16" s="7" t="s">
        <v>99</v>
      </c>
      <c r="F16" s="7" t="s">
        <v>100</v>
      </c>
      <c r="G16" s="7"/>
      <c r="H16" s="7" t="s">
        <v>36</v>
      </c>
    </row>
    <row r="17" spans="1:8">
      <c r="A17" s="7" t="s">
        <v>101</v>
      </c>
      <c r="B17" s="7" t="s">
        <v>102</v>
      </c>
      <c r="C17" s="7" t="s">
        <v>103</v>
      </c>
      <c r="D17" s="7" t="s">
        <v>104</v>
      </c>
      <c r="E17" s="7" t="s">
        <v>105</v>
      </c>
      <c r="F17" s="7" t="s">
        <v>73</v>
      </c>
      <c r="G17" s="7"/>
      <c r="H17" s="7" t="s">
        <v>36</v>
      </c>
    </row>
    <row r="18" spans="1:8">
      <c r="A18" s="7" t="s">
        <v>106</v>
      </c>
      <c r="B18" s="7" t="s">
        <v>107</v>
      </c>
      <c r="C18" s="7" t="s">
        <v>108</v>
      </c>
      <c r="D18" s="7" t="s">
        <v>109</v>
      </c>
      <c r="E18" s="7" t="s">
        <v>110</v>
      </c>
      <c r="F18" s="7" t="s">
        <v>108</v>
      </c>
      <c r="G18" s="7"/>
      <c r="H18" s="7" t="s">
        <v>36</v>
      </c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2"/>
      <c r="B76" s="2"/>
      <c r="C76" s="2"/>
      <c r="D76" s="2"/>
      <c r="E76" s="2"/>
      <c r="F76" s="2"/>
      <c r="G76" s="2"/>
      <c r="H76" s="2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2"/>
      <c r="B84" s="2"/>
      <c r="C84" s="2"/>
      <c r="D84" s="2"/>
      <c r="E84" s="2"/>
      <c r="F84" s="2"/>
      <c r="G84" s="2"/>
      <c r="H84" s="2"/>
    </row>
    <row r="85" spans="1:8">
      <c r="A85" s="2"/>
      <c r="B85" s="2"/>
      <c r="C85" s="2"/>
      <c r="D85" s="2"/>
      <c r="E85" s="2"/>
      <c r="F85" s="2"/>
      <c r="G85" s="2"/>
      <c r="H85" s="2"/>
    </row>
    <row r="86" spans="1:8">
      <c r="A86" s="2"/>
      <c r="B86" s="2"/>
      <c r="C86" s="2"/>
      <c r="D86" s="2"/>
      <c r="E86" s="2"/>
      <c r="F86" s="2"/>
      <c r="G86" s="2"/>
      <c r="H86" s="2"/>
    </row>
    <row r="87" spans="1:8">
      <c r="A87" s="2"/>
      <c r="B87" s="2"/>
      <c r="C87" s="2"/>
      <c r="D87" s="2"/>
      <c r="E87" s="2"/>
      <c r="F87" s="2"/>
      <c r="G87" s="2"/>
      <c r="H87" s="2"/>
    </row>
    <row r="88" spans="1:8">
      <c r="A88" s="2"/>
      <c r="B88" s="2"/>
      <c r="C88" s="2"/>
      <c r="D88" s="2"/>
      <c r="E88" s="2"/>
      <c r="F88" s="2"/>
      <c r="G88" s="2"/>
      <c r="H88" s="2"/>
    </row>
    <row r="89" spans="1:8">
      <c r="A89" s="2"/>
      <c r="B89" s="2"/>
      <c r="C89" s="2"/>
      <c r="D89" s="2"/>
      <c r="E89" s="2"/>
      <c r="F89" s="2"/>
      <c r="G89" s="2"/>
      <c r="H89" s="2"/>
    </row>
    <row r="90" spans="1:8">
      <c r="A90" s="2"/>
      <c r="B90" s="2"/>
      <c r="C90" s="2"/>
      <c r="D90" s="2"/>
      <c r="E90" s="2"/>
      <c r="F90" s="2"/>
      <c r="G90" s="2"/>
      <c r="H90" s="2"/>
    </row>
    <row r="91" spans="1:8">
      <c r="A91" s="2"/>
      <c r="B91" s="2"/>
      <c r="C91" s="2"/>
      <c r="D91" s="2"/>
      <c r="E91" s="2"/>
      <c r="F91" s="2"/>
      <c r="G91" s="2"/>
      <c r="H91" s="2"/>
    </row>
    <row r="92" spans="1:8">
      <c r="A92" s="2"/>
      <c r="B92" s="2"/>
      <c r="C92" s="2"/>
      <c r="D92" s="2"/>
      <c r="E92" s="2"/>
      <c r="F92" s="2"/>
      <c r="G92" s="2"/>
      <c r="H92" s="2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2"/>
      <c r="B96" s="2"/>
      <c r="C96" s="2"/>
      <c r="D96" s="2"/>
      <c r="E96" s="2"/>
      <c r="F96" s="2"/>
      <c r="G96" s="2"/>
      <c r="H96" s="2"/>
    </row>
    <row r="97" spans="1:8">
      <c r="A97" s="2"/>
      <c r="B97" s="2"/>
      <c r="C97" s="2"/>
      <c r="D97" s="2"/>
      <c r="E97" s="2"/>
      <c r="F97" s="2"/>
      <c r="G97" s="2"/>
      <c r="H97" s="2"/>
    </row>
    <row r="98" spans="1:8">
      <c r="A98" s="2"/>
      <c r="B98" s="2"/>
      <c r="C98" s="2"/>
      <c r="D98" s="2"/>
      <c r="E98" s="2"/>
      <c r="F98" s="2"/>
      <c r="G98" s="2"/>
      <c r="H98" s="2"/>
    </row>
    <row r="99" spans="1:8">
      <c r="A99" s="2"/>
      <c r="B99" s="2"/>
      <c r="C99" s="2"/>
      <c r="D99" s="2"/>
      <c r="E99" s="2"/>
      <c r="F99" s="2"/>
      <c r="G99" s="2"/>
      <c r="H99" s="2"/>
    </row>
    <row r="100" spans="1:8">
      <c r="A100" s="2"/>
      <c r="B100" s="2"/>
      <c r="C100" s="2"/>
      <c r="D100" s="2"/>
      <c r="E100" s="2"/>
      <c r="F100" s="2"/>
      <c r="G100" s="2"/>
      <c r="H100" s="2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2"/>
      <c r="B102" s="2"/>
      <c r="C102" s="2"/>
      <c r="D102" s="2"/>
      <c r="E102" s="2"/>
      <c r="F102" s="2"/>
      <c r="G102" s="2"/>
      <c r="H102" s="2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2"/>
      <c r="B104" s="2"/>
      <c r="C104" s="2"/>
      <c r="D104" s="2"/>
      <c r="E104" s="2"/>
      <c r="F104" s="2"/>
      <c r="G104" s="2"/>
      <c r="H104" s="2"/>
    </row>
    <row r="105" spans="1:8">
      <c r="A105" s="2"/>
      <c r="B105" s="2"/>
      <c r="C105" s="2"/>
      <c r="D105" s="2"/>
      <c r="E105" s="2"/>
      <c r="F105" s="2"/>
      <c r="G105" s="2"/>
      <c r="H105" s="2"/>
    </row>
    <row r="106" spans="1:8">
      <c r="A106" s="2"/>
      <c r="B106" s="2"/>
      <c r="C106" s="2"/>
      <c r="D106" s="2"/>
      <c r="E106" s="2"/>
      <c r="F106" s="2"/>
      <c r="G106" s="2"/>
      <c r="H106" s="2"/>
    </row>
    <row r="107" spans="1:8">
      <c r="A107" s="2"/>
      <c r="B107" s="2"/>
      <c r="C107" s="2"/>
      <c r="D107" s="2"/>
      <c r="E107" s="2"/>
      <c r="F107" s="2"/>
      <c r="G107" s="2"/>
      <c r="H107" s="2"/>
    </row>
    <row r="108" spans="1:8">
      <c r="A108" s="2"/>
      <c r="B108" s="2"/>
      <c r="C108" s="2"/>
      <c r="D108" s="2"/>
      <c r="E108" s="2"/>
      <c r="F108" s="2"/>
      <c r="G108" s="2"/>
      <c r="H108" s="2"/>
    </row>
    <row r="109" spans="1:8">
      <c r="A109" s="2"/>
      <c r="B109" s="2"/>
      <c r="C109" s="2"/>
      <c r="D109" s="2"/>
      <c r="E109" s="2"/>
      <c r="F109" s="2"/>
      <c r="G109" s="2"/>
      <c r="H109" s="2"/>
    </row>
    <row r="110" spans="1:8">
      <c r="A110" s="2"/>
      <c r="B110" s="2"/>
      <c r="C110" s="2"/>
      <c r="D110" s="2"/>
      <c r="E110" s="2"/>
      <c r="F110" s="2"/>
      <c r="G110" s="2"/>
      <c r="H110" s="2"/>
    </row>
    <row r="111" spans="1:8">
      <c r="A111" s="2"/>
      <c r="B111" s="2"/>
      <c r="C111" s="2"/>
      <c r="D111" s="2"/>
      <c r="E111" s="2"/>
      <c r="F111" s="2"/>
      <c r="G111" s="2"/>
      <c r="H111" s="2"/>
    </row>
    <row r="112" spans="1:8">
      <c r="A112" s="2"/>
      <c r="B112" s="2"/>
      <c r="C112" s="2"/>
      <c r="D112" s="2"/>
      <c r="E112" s="2"/>
      <c r="F112" s="2"/>
      <c r="G112" s="2"/>
      <c r="H112" s="2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2"/>
      <c r="B114" s="2"/>
      <c r="C114" s="2"/>
      <c r="D114" s="2"/>
      <c r="E114" s="2"/>
      <c r="F114" s="2"/>
      <c r="G114" s="2"/>
      <c r="H114" s="2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2"/>
      <c r="B116" s="2"/>
      <c r="C116" s="2"/>
      <c r="D116" s="2"/>
      <c r="E116" s="2"/>
      <c r="F116" s="2"/>
      <c r="G116" s="2"/>
      <c r="H116" s="2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2"/>
      <c r="B118" s="2"/>
      <c r="C118" s="2"/>
      <c r="D118" s="2"/>
      <c r="E118" s="2"/>
      <c r="F118" s="2"/>
      <c r="G118" s="2"/>
      <c r="H118" s="2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2"/>
      <c r="B120" s="2"/>
      <c r="C120" s="2"/>
      <c r="D120" s="2"/>
      <c r="E120" s="2"/>
      <c r="F120" s="2"/>
      <c r="G120" s="2"/>
      <c r="H120" s="2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2"/>
      <c r="B122" s="2"/>
      <c r="C122" s="2"/>
      <c r="D122" s="2"/>
      <c r="E122" s="2"/>
      <c r="F122" s="2"/>
      <c r="G122" s="2"/>
      <c r="H122" s="2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2"/>
      <c r="B124" s="2"/>
      <c r="C124" s="2"/>
      <c r="D124" s="2"/>
      <c r="E124" s="2"/>
      <c r="F124" s="2"/>
      <c r="G124" s="2"/>
      <c r="H124" s="2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2"/>
      <c r="B126" s="2"/>
      <c r="C126" s="2"/>
      <c r="D126" s="2"/>
      <c r="E126" s="2"/>
      <c r="F126" s="2"/>
      <c r="G126" s="2"/>
      <c r="H126" s="2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2"/>
      <c r="B128" s="2"/>
      <c r="C128" s="2"/>
      <c r="D128" s="2"/>
      <c r="E128" s="2"/>
      <c r="F128" s="2"/>
      <c r="G128" s="2"/>
      <c r="H128" s="2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2"/>
      <c r="B130" s="2"/>
      <c r="C130" s="2"/>
      <c r="D130" s="2"/>
      <c r="E130" s="2"/>
      <c r="F130" s="2"/>
      <c r="G130" s="2"/>
      <c r="H130" s="2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2"/>
      <c r="B132" s="2"/>
      <c r="C132" s="2"/>
      <c r="D132" s="2"/>
      <c r="E132" s="2"/>
      <c r="F132" s="2"/>
      <c r="G132" s="2"/>
      <c r="H132" s="2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2"/>
      <c r="B136" s="2"/>
      <c r="C136" s="2"/>
      <c r="D136" s="2"/>
      <c r="E136" s="2"/>
      <c r="F136" s="2"/>
      <c r="G136" s="2"/>
      <c r="H136" s="2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2"/>
      <c r="B138" s="2"/>
      <c r="C138" s="2"/>
      <c r="D138" s="2"/>
      <c r="E138" s="2"/>
      <c r="F138" s="2"/>
      <c r="G138" s="2"/>
      <c r="H138" s="2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2"/>
      <c r="B140" s="2"/>
      <c r="C140" s="2"/>
      <c r="D140" s="2"/>
      <c r="E140" s="2"/>
      <c r="F140" s="2"/>
      <c r="G140" s="2"/>
      <c r="H140" s="2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2"/>
      <c r="B142" s="2"/>
      <c r="C142" s="2"/>
      <c r="D142" s="2"/>
      <c r="E142" s="2"/>
      <c r="F142" s="2"/>
      <c r="G142" s="2"/>
      <c r="H142" s="2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2"/>
      <c r="B144" s="2"/>
      <c r="C144" s="2"/>
      <c r="D144" s="2"/>
      <c r="E144" s="2"/>
      <c r="F144" s="2"/>
      <c r="G144" s="2"/>
      <c r="H144" s="2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2"/>
      <c r="B146" s="2"/>
      <c r="C146" s="2"/>
      <c r="D146" s="2"/>
      <c r="E146" s="2"/>
      <c r="F146" s="2"/>
      <c r="G146" s="2"/>
      <c r="H146" s="2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2"/>
      <c r="B148" s="2"/>
      <c r="C148" s="2"/>
      <c r="D148" s="2"/>
      <c r="E148" s="2"/>
      <c r="F148" s="2"/>
      <c r="G148" s="2"/>
      <c r="H148" s="2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2"/>
      <c r="B150" s="2"/>
      <c r="C150" s="2"/>
      <c r="D150" s="2"/>
      <c r="E150" s="2"/>
      <c r="F150" s="2"/>
      <c r="G150" s="2"/>
      <c r="H150" s="2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2"/>
      <c r="B152" s="2"/>
      <c r="C152" s="2"/>
      <c r="D152" s="2"/>
      <c r="E152" s="2"/>
      <c r="F152" s="2"/>
      <c r="G152" s="2"/>
      <c r="H152" s="2"/>
    </row>
    <row r="153" spans="1:8">
      <c r="A153" s="2"/>
      <c r="B153" s="2"/>
      <c r="C153" s="2"/>
      <c r="D153" s="2"/>
      <c r="E153" s="2"/>
      <c r="F153" s="2"/>
      <c r="G153" s="2"/>
      <c r="H153" s="2"/>
    </row>
    <row r="154" spans="1:8">
      <c r="A154" s="2"/>
      <c r="B154" s="2"/>
      <c r="C154" s="2"/>
      <c r="D154" s="2"/>
      <c r="E154" s="2"/>
      <c r="F154" s="2"/>
      <c r="G154" s="2"/>
      <c r="H154" s="2"/>
    </row>
    <row r="155" spans="1:8">
      <c r="A155" s="2"/>
      <c r="B155" s="2"/>
      <c r="C155" s="2"/>
      <c r="D155" s="2"/>
      <c r="E155" s="2"/>
      <c r="F155" s="2"/>
      <c r="G155" s="2"/>
      <c r="H155" s="2"/>
    </row>
    <row r="156" spans="1:8">
      <c r="A156" s="2"/>
      <c r="B156" s="2"/>
      <c r="C156" s="2"/>
      <c r="D156" s="2"/>
      <c r="E156" s="2"/>
      <c r="F156" s="2"/>
      <c r="G156" s="2"/>
      <c r="H156" s="2"/>
    </row>
    <row r="157" spans="1:8">
      <c r="A157" s="2"/>
      <c r="B157" s="2"/>
      <c r="C157" s="2"/>
      <c r="D157" s="2"/>
      <c r="E157" s="2"/>
      <c r="F157" s="2"/>
      <c r="G157" s="2"/>
      <c r="H157" s="2"/>
    </row>
    <row r="158" spans="1:8">
      <c r="A158" s="2"/>
      <c r="B158" s="2"/>
      <c r="C158" s="2"/>
      <c r="D158" s="2"/>
      <c r="E158" s="2"/>
      <c r="F158" s="2"/>
      <c r="G158" s="2"/>
      <c r="H158" s="2"/>
    </row>
    <row r="159" spans="1:8">
      <c r="A159" s="2"/>
      <c r="B159" s="2"/>
      <c r="C159" s="2"/>
      <c r="D159" s="2"/>
      <c r="E159" s="2"/>
      <c r="F159" s="2"/>
      <c r="G159" s="2"/>
      <c r="H159" s="2"/>
    </row>
    <row r="160" spans="1:8">
      <c r="A160" s="2"/>
      <c r="B160" s="2"/>
      <c r="C160" s="2"/>
      <c r="D160" s="2"/>
      <c r="E160" s="2"/>
      <c r="F160" s="2"/>
      <c r="G160" s="2"/>
      <c r="H160" s="2"/>
    </row>
    <row r="161" spans="1:8">
      <c r="A161" s="2"/>
      <c r="B161" s="2"/>
      <c r="C161" s="2"/>
      <c r="D161" s="2"/>
      <c r="E161" s="2"/>
      <c r="F161" s="2"/>
      <c r="G161" s="2"/>
      <c r="H161" s="2"/>
    </row>
    <row r="162" spans="1:8">
      <c r="A162" s="2"/>
      <c r="B162" s="2"/>
      <c r="C162" s="2"/>
      <c r="D162" s="2"/>
      <c r="E162" s="2"/>
      <c r="F162" s="2"/>
      <c r="G162" s="2"/>
      <c r="H162" s="2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2"/>
      <c r="B164" s="2"/>
      <c r="C164" s="2"/>
      <c r="D164" s="2"/>
      <c r="E164" s="2"/>
      <c r="F164" s="2"/>
      <c r="G164" s="2"/>
      <c r="H164" s="2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2"/>
      <c r="B166" s="2"/>
      <c r="C166" s="2"/>
      <c r="D166" s="2"/>
      <c r="E166" s="2"/>
      <c r="F166" s="2"/>
      <c r="G166" s="2"/>
      <c r="H166" s="2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2"/>
      <c r="B168" s="2"/>
      <c r="C168" s="2"/>
      <c r="D168" s="2"/>
      <c r="E168" s="2"/>
      <c r="F168" s="2"/>
      <c r="G168" s="2"/>
      <c r="H168" s="2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2"/>
      <c r="B170" s="2"/>
      <c r="C170" s="2"/>
      <c r="D170" s="2"/>
      <c r="E170" s="2"/>
      <c r="F170" s="2"/>
      <c r="G170" s="2"/>
      <c r="H170" s="2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2"/>
      <c r="B172" s="2"/>
      <c r="C172" s="2"/>
      <c r="D172" s="2"/>
      <c r="E172" s="2"/>
      <c r="F172" s="2"/>
      <c r="G172" s="2"/>
      <c r="H172" s="2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2"/>
      <c r="B174" s="2"/>
      <c r="C174" s="2"/>
      <c r="D174" s="2"/>
      <c r="E174" s="2"/>
      <c r="F174" s="2"/>
      <c r="G174" s="2"/>
      <c r="H174" s="2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2"/>
      <c r="B176" s="2"/>
      <c r="C176" s="2"/>
      <c r="D176" s="2"/>
      <c r="E176" s="2"/>
      <c r="F176" s="2"/>
      <c r="G176" s="2"/>
      <c r="H176" s="2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2"/>
      <c r="B178" s="2"/>
      <c r="C178" s="2"/>
      <c r="D178" s="2"/>
      <c r="E178" s="2"/>
      <c r="F178" s="2"/>
      <c r="G178" s="2"/>
      <c r="H178" s="2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2"/>
      <c r="B180" s="2"/>
      <c r="C180" s="2"/>
      <c r="D180" s="2"/>
      <c r="E180" s="2"/>
      <c r="F180" s="2"/>
      <c r="G180" s="2"/>
      <c r="H180" s="2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2"/>
      <c r="B182" s="2"/>
      <c r="C182" s="2"/>
      <c r="D182" s="2"/>
      <c r="E182" s="2"/>
      <c r="F182" s="2"/>
      <c r="G182" s="2"/>
      <c r="H182" s="2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2"/>
      <c r="B184" s="2"/>
      <c r="C184" s="2"/>
      <c r="D184" s="2"/>
      <c r="E184" s="2"/>
      <c r="F184" s="2"/>
      <c r="G184" s="2"/>
      <c r="H184" s="2"/>
    </row>
    <row r="185" spans="1:8">
      <c r="A185" s="2"/>
      <c r="B185" s="2"/>
      <c r="C185" s="2"/>
      <c r="D185" s="2"/>
      <c r="E185" s="2"/>
      <c r="F185" s="2"/>
      <c r="G185" s="2"/>
      <c r="H185" s="2"/>
    </row>
    <row r="186" spans="1:8">
      <c r="A186" s="2"/>
      <c r="B186" s="2"/>
      <c r="C186" s="2"/>
      <c r="D186" s="2"/>
      <c r="E186" s="2"/>
      <c r="F186" s="2"/>
      <c r="G186" s="2"/>
      <c r="H186" s="2"/>
    </row>
    <row r="187" spans="1:8">
      <c r="A187" s="2"/>
      <c r="B187" s="2"/>
      <c r="C187" s="2"/>
      <c r="D187" s="2"/>
      <c r="E187" s="2"/>
      <c r="F187" s="2"/>
      <c r="G187" s="2"/>
      <c r="H187" s="2"/>
    </row>
    <row r="188" spans="1:8">
      <c r="A188" s="2"/>
      <c r="B188" s="2"/>
      <c r="C188" s="2"/>
      <c r="D188" s="2"/>
      <c r="E188" s="2"/>
      <c r="F188" s="2"/>
      <c r="G188" s="2"/>
      <c r="H188" s="2"/>
    </row>
    <row r="189" spans="1:8">
      <c r="A189" s="2"/>
      <c r="B189" s="2"/>
      <c r="C189" s="2"/>
      <c r="D189" s="2"/>
      <c r="E189" s="2"/>
      <c r="F189" s="2"/>
      <c r="G189" s="2"/>
      <c r="H189" s="2"/>
    </row>
    <row r="190" spans="1:8">
      <c r="A190" s="2"/>
      <c r="B190" s="2"/>
      <c r="C190" s="2"/>
      <c r="D190" s="2"/>
      <c r="E190" s="2"/>
      <c r="F190" s="2"/>
      <c r="G190" s="2"/>
      <c r="H190" s="2"/>
    </row>
    <row r="191" spans="1:8">
      <c r="A191" s="2"/>
      <c r="B191" s="2"/>
      <c r="C191" s="2"/>
      <c r="D191" s="2"/>
      <c r="E191" s="2"/>
      <c r="F191" s="2"/>
      <c r="G191" s="2"/>
      <c r="H191" s="2"/>
    </row>
    <row r="192" spans="1:8">
      <c r="A192" s="2"/>
      <c r="B192" s="2"/>
      <c r="C192" s="2"/>
      <c r="D192" s="2"/>
      <c r="E192" s="2"/>
      <c r="F192" s="2"/>
      <c r="G192" s="2"/>
      <c r="H192" s="2"/>
    </row>
    <row r="193" spans="1:8">
      <c r="A193" s="2"/>
      <c r="B193" s="2"/>
      <c r="C193" s="2"/>
      <c r="D193" s="2"/>
      <c r="E193" s="2"/>
      <c r="F193" s="2"/>
      <c r="G193" s="2"/>
      <c r="H193" s="2"/>
    </row>
    <row r="194" spans="1:8">
      <c r="A194" s="2"/>
      <c r="B194" s="2"/>
      <c r="C194" s="2"/>
      <c r="D194" s="2"/>
      <c r="E194" s="2"/>
      <c r="F194" s="2"/>
      <c r="G194" s="2"/>
      <c r="H194" s="2"/>
    </row>
    <row r="195" spans="1:8">
      <c r="A195" s="2"/>
      <c r="B195" s="2"/>
      <c r="C195" s="2"/>
      <c r="D195" s="2"/>
      <c r="E195" s="2"/>
      <c r="F195" s="2"/>
      <c r="G195" s="2"/>
      <c r="H195" s="2"/>
    </row>
    <row r="196" spans="1:8">
      <c r="A196" s="2"/>
      <c r="B196" s="2"/>
      <c r="C196" s="2"/>
      <c r="D196" s="2"/>
      <c r="E196" s="2"/>
      <c r="F196" s="2"/>
      <c r="G196" s="2"/>
      <c r="H196" s="2"/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2"/>
      <c r="B198" s="2"/>
      <c r="C198" s="2"/>
      <c r="D198" s="2"/>
      <c r="E198" s="2"/>
      <c r="F198" s="2"/>
      <c r="G198" s="2"/>
      <c r="H198" s="2"/>
    </row>
    <row r="199" spans="1:8">
      <c r="A199" s="2"/>
      <c r="B199" s="2"/>
      <c r="C199" s="2"/>
      <c r="D199" s="2"/>
      <c r="E199" s="2"/>
      <c r="F199" s="2"/>
      <c r="G199" s="2"/>
      <c r="H199" s="2"/>
    </row>
    <row r="200" spans="1:8">
      <c r="A200" s="2"/>
      <c r="B200" s="2"/>
      <c r="C200" s="2"/>
      <c r="D200" s="2"/>
      <c r="E200" s="2"/>
      <c r="F200" s="2"/>
      <c r="G200" s="2"/>
      <c r="H200" s="2"/>
    </row>
  </sheetData>
  <mergeCells count="1">
    <mergeCell ref="A1:G1"/>
  </mergeCells>
  <dataValidations count="2">
    <dataValidation type="list" sqref="E4:E200" xr:uid="{800514C4-A7E5-459E-BB57-E30D521A543D}">
      <formula1>"Yes,No"</formula1>
    </dataValidation>
    <dataValidation type="list" sqref="D4:D200" xr:uid="{7FCBC5D7-13C8-45D0-A9BE-542F0155ECAD}">
      <formula1>"Forward,Defence,Netminder"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0"/>
  <sheetViews>
    <sheetView topLeftCell="A3" zoomScaleNormal="100" zoomScaleSheetLayoutView="100" workbookViewId="0">
      <selection activeCell="H16" sqref="H16"/>
    </sheetView>
  </sheetViews>
  <sheetFormatPr defaultRowHeight="14.25"/>
  <cols>
    <col min="1" max="1" width="8.5" customWidth="1"/>
    <col min="2" max="2" width="24" customWidth="1"/>
    <col min="3" max="3" width="8.875" customWidth="1"/>
    <col min="4" max="4" width="10.625" customWidth="1"/>
    <col min="5" max="5" width="6.125" customWidth="1"/>
    <col min="6" max="6" width="14.625" customWidth="1"/>
    <col min="7" max="7" width="9.25" customWidth="1"/>
  </cols>
  <sheetData>
    <row r="1" spans="1:7" ht="20.25">
      <c r="A1" s="22" t="s">
        <v>3</v>
      </c>
      <c r="B1" s="22"/>
      <c r="C1" s="22"/>
      <c r="D1" s="22"/>
      <c r="E1" s="22"/>
      <c r="F1" s="22"/>
      <c r="G1" s="22"/>
    </row>
    <row r="3" spans="1:7" ht="30">
      <c r="A3" s="6" t="s">
        <v>111</v>
      </c>
      <c r="B3" s="6" t="s">
        <v>112</v>
      </c>
      <c r="C3" s="6" t="s">
        <v>113</v>
      </c>
      <c r="D3" s="6" t="s">
        <v>114</v>
      </c>
      <c r="E3" s="6" t="s">
        <v>28</v>
      </c>
      <c r="F3" s="6" t="s">
        <v>115</v>
      </c>
      <c r="G3" s="6" t="s">
        <v>116</v>
      </c>
    </row>
    <row r="4" spans="1:7">
      <c r="A4" s="7" t="s">
        <v>117</v>
      </c>
      <c r="B4" s="7" t="s">
        <v>118</v>
      </c>
      <c r="C4" s="7">
        <v>9</v>
      </c>
      <c r="D4" s="7" t="s">
        <v>119</v>
      </c>
      <c r="E4" s="7" t="s">
        <v>36</v>
      </c>
      <c r="F4" s="7" t="s">
        <v>120</v>
      </c>
      <c r="G4" s="7"/>
    </row>
    <row r="5" spans="1:7">
      <c r="A5" s="7" t="s">
        <v>121</v>
      </c>
      <c r="B5" s="7" t="s">
        <v>122</v>
      </c>
      <c r="C5" s="7">
        <v>97</v>
      </c>
      <c r="D5" s="7" t="s">
        <v>119</v>
      </c>
      <c r="E5" s="7" t="s">
        <v>36</v>
      </c>
      <c r="F5" s="7" t="s">
        <v>123</v>
      </c>
      <c r="G5" s="7"/>
    </row>
    <row r="6" spans="1:7">
      <c r="A6" s="7" t="s">
        <v>124</v>
      </c>
      <c r="B6" s="7" t="s">
        <v>125</v>
      </c>
      <c r="C6" s="7">
        <v>74</v>
      </c>
      <c r="D6" s="7" t="s">
        <v>126</v>
      </c>
      <c r="E6" s="7" t="s">
        <v>36</v>
      </c>
      <c r="F6" s="7" t="s">
        <v>127</v>
      </c>
      <c r="G6" s="7" t="s">
        <v>128</v>
      </c>
    </row>
    <row r="7" spans="1:7">
      <c r="A7" s="7" t="s">
        <v>129</v>
      </c>
      <c r="B7" s="7" t="s">
        <v>130</v>
      </c>
      <c r="C7" s="7">
        <v>29</v>
      </c>
      <c r="D7" s="7" t="s">
        <v>131</v>
      </c>
      <c r="E7" s="7" t="s">
        <v>36</v>
      </c>
      <c r="F7" s="7" t="s">
        <v>132</v>
      </c>
      <c r="G7" s="7"/>
    </row>
    <row r="8" spans="1:7">
      <c r="A8" s="7" t="s">
        <v>133</v>
      </c>
      <c r="B8" s="7" t="s">
        <v>134</v>
      </c>
      <c r="C8" s="7">
        <v>12</v>
      </c>
      <c r="D8" s="7" t="s">
        <v>119</v>
      </c>
      <c r="E8" s="7" t="s">
        <v>36</v>
      </c>
      <c r="F8" s="7" t="s">
        <v>135</v>
      </c>
      <c r="G8" s="7"/>
    </row>
    <row r="9" spans="1:7">
      <c r="A9" s="7" t="s">
        <v>136</v>
      </c>
      <c r="B9" s="7" t="s">
        <v>137</v>
      </c>
      <c r="C9" s="7">
        <v>13</v>
      </c>
      <c r="D9" s="7" t="s">
        <v>119</v>
      </c>
      <c r="E9" s="7" t="s">
        <v>36</v>
      </c>
      <c r="F9" s="7" t="s">
        <v>138</v>
      </c>
      <c r="G9" s="7"/>
    </row>
    <row r="10" spans="1:7">
      <c r="A10" s="7" t="s">
        <v>139</v>
      </c>
      <c r="B10" s="7" t="s">
        <v>140</v>
      </c>
      <c r="C10" s="7">
        <v>5</v>
      </c>
      <c r="D10" s="7" t="s">
        <v>126</v>
      </c>
      <c r="E10" s="7" t="s">
        <v>36</v>
      </c>
      <c r="F10" s="7" t="s">
        <v>141</v>
      </c>
      <c r="G10" s="7"/>
    </row>
    <row r="11" spans="1:7">
      <c r="A11" s="7" t="s">
        <v>142</v>
      </c>
      <c r="B11" s="7" t="s">
        <v>143</v>
      </c>
      <c r="C11" s="7">
        <v>10</v>
      </c>
      <c r="D11" s="7" t="s">
        <v>126</v>
      </c>
      <c r="E11" s="7" t="s">
        <v>36</v>
      </c>
      <c r="F11" s="7" t="s">
        <v>144</v>
      </c>
      <c r="G11" s="7"/>
    </row>
    <row r="12" spans="1:7">
      <c r="A12" s="7" t="s">
        <v>145</v>
      </c>
      <c r="B12" s="7" t="s">
        <v>146</v>
      </c>
      <c r="C12" s="7">
        <v>2</v>
      </c>
      <c r="D12" s="7" t="s">
        <v>131</v>
      </c>
      <c r="E12" s="7" t="s">
        <v>36</v>
      </c>
      <c r="F12" s="7" t="s">
        <v>147</v>
      </c>
      <c r="G12" s="7"/>
    </row>
    <row r="13" spans="1:7">
      <c r="A13" s="7" t="s">
        <v>148</v>
      </c>
      <c r="B13" s="7" t="s">
        <v>149</v>
      </c>
      <c r="C13" s="7">
        <v>86</v>
      </c>
      <c r="D13" s="7" t="s">
        <v>131</v>
      </c>
      <c r="E13" s="7" t="s">
        <v>36</v>
      </c>
      <c r="F13" s="7" t="s">
        <v>150</v>
      </c>
      <c r="G13" s="7"/>
    </row>
    <row r="14" spans="1:7">
      <c r="A14" s="7" t="s">
        <v>151</v>
      </c>
      <c r="B14" s="7" t="s">
        <v>152</v>
      </c>
      <c r="C14" s="7">
        <v>14</v>
      </c>
      <c r="D14" s="7" t="s">
        <v>119</v>
      </c>
      <c r="E14" s="7" t="s">
        <v>36</v>
      </c>
      <c r="F14" s="7" t="s">
        <v>153</v>
      </c>
      <c r="G14" s="7"/>
    </row>
    <row r="15" spans="1:7">
      <c r="A15" s="7" t="s">
        <v>154</v>
      </c>
      <c r="B15" s="7" t="s">
        <v>155</v>
      </c>
      <c r="C15" s="7">
        <v>18</v>
      </c>
      <c r="D15" s="7" t="s">
        <v>119</v>
      </c>
      <c r="E15" s="7" t="s">
        <v>36</v>
      </c>
      <c r="F15" s="7" t="s">
        <v>156</v>
      </c>
      <c r="G15" s="7"/>
    </row>
    <row r="16" spans="1:7">
      <c r="A16" s="7" t="s">
        <v>157</v>
      </c>
      <c r="B16" s="7" t="s">
        <v>158</v>
      </c>
      <c r="C16" s="7">
        <v>22</v>
      </c>
      <c r="D16" s="7" t="s">
        <v>119</v>
      </c>
      <c r="E16" s="7" t="s">
        <v>36</v>
      </c>
      <c r="F16" s="7" t="s">
        <v>159</v>
      </c>
      <c r="G16" s="7"/>
    </row>
    <row r="17" spans="1:8">
      <c r="A17" s="7" t="s">
        <v>160</v>
      </c>
      <c r="B17" s="7" t="s">
        <v>161</v>
      </c>
      <c r="C17" s="7">
        <v>24</v>
      </c>
      <c r="D17" s="7" t="s">
        <v>119</v>
      </c>
      <c r="E17" s="7" t="s">
        <v>36</v>
      </c>
      <c r="F17" s="7" t="s">
        <v>162</v>
      </c>
      <c r="G17" s="7"/>
    </row>
    <row r="18" spans="1:8">
      <c r="A18" s="7" t="s">
        <v>163</v>
      </c>
      <c r="B18" s="7" t="s">
        <v>164</v>
      </c>
      <c r="C18" s="7">
        <v>33</v>
      </c>
      <c r="D18" s="7" t="s">
        <v>119</v>
      </c>
      <c r="E18" s="7" t="s">
        <v>36</v>
      </c>
      <c r="F18" s="7"/>
      <c r="G18" s="7"/>
    </row>
    <row r="19" spans="1:8">
      <c r="A19" s="7" t="s">
        <v>165</v>
      </c>
      <c r="B19" s="7" t="s">
        <v>166</v>
      </c>
      <c r="C19" s="7">
        <v>37</v>
      </c>
      <c r="D19" s="7" t="s">
        <v>119</v>
      </c>
      <c r="E19" s="7" t="s">
        <v>36</v>
      </c>
      <c r="F19" s="7" t="s">
        <v>167</v>
      </c>
      <c r="G19" s="7"/>
    </row>
    <row r="20" spans="1:8">
      <c r="A20" s="7" t="s">
        <v>168</v>
      </c>
      <c r="B20" s="7" t="s">
        <v>169</v>
      </c>
      <c r="C20" s="7">
        <v>45</v>
      </c>
      <c r="D20" s="7" t="s">
        <v>119</v>
      </c>
      <c r="E20" s="7" t="s">
        <v>36</v>
      </c>
      <c r="F20" s="7" t="s">
        <v>170</v>
      </c>
      <c r="G20" s="7"/>
    </row>
    <row r="21" spans="1:8">
      <c r="A21" s="7" t="s">
        <v>171</v>
      </c>
      <c r="B21" s="7" t="s">
        <v>172</v>
      </c>
      <c r="C21" s="7">
        <v>64</v>
      </c>
      <c r="D21" s="7" t="s">
        <v>119</v>
      </c>
      <c r="E21" s="7" t="s">
        <v>36</v>
      </c>
      <c r="F21" s="7" t="s">
        <v>173</v>
      </c>
      <c r="G21" s="7"/>
    </row>
    <row r="22" spans="1:8">
      <c r="A22" s="7" t="s">
        <v>174</v>
      </c>
      <c r="B22" s="7" t="s">
        <v>175</v>
      </c>
      <c r="C22" s="7">
        <v>65</v>
      </c>
      <c r="D22" s="7" t="s">
        <v>119</v>
      </c>
      <c r="E22" s="7" t="s">
        <v>36</v>
      </c>
      <c r="F22" s="7" t="s">
        <v>176</v>
      </c>
      <c r="G22" s="7"/>
    </row>
    <row r="23" spans="1:8">
      <c r="A23" s="7" t="s">
        <v>177</v>
      </c>
      <c r="B23" s="7" t="s">
        <v>178</v>
      </c>
      <c r="C23" s="7">
        <v>68</v>
      </c>
      <c r="D23" s="7" t="s">
        <v>119</v>
      </c>
      <c r="E23" s="7" t="s">
        <v>36</v>
      </c>
      <c r="F23" s="7" t="s">
        <v>179</v>
      </c>
      <c r="G23" s="7"/>
    </row>
    <row r="24" spans="1:8">
      <c r="A24" s="7" t="s">
        <v>180</v>
      </c>
      <c r="B24" s="7" t="s">
        <v>181</v>
      </c>
      <c r="C24" s="7">
        <v>89</v>
      </c>
      <c r="D24" s="7" t="s">
        <v>119</v>
      </c>
      <c r="E24" s="7" t="s">
        <v>36</v>
      </c>
      <c r="F24" s="7" t="s">
        <v>182</v>
      </c>
      <c r="G24" s="7"/>
    </row>
    <row r="25" spans="1:8">
      <c r="A25" s="7" t="s">
        <v>183</v>
      </c>
      <c r="B25" s="7" t="s">
        <v>184</v>
      </c>
      <c r="C25" s="7">
        <v>16</v>
      </c>
      <c r="D25" s="7" t="s">
        <v>126</v>
      </c>
      <c r="E25" s="7" t="s">
        <v>36</v>
      </c>
      <c r="F25" s="7" t="s">
        <v>185</v>
      </c>
      <c r="G25" s="7"/>
    </row>
    <row r="26" spans="1:8">
      <c r="A26" s="7" t="s">
        <v>186</v>
      </c>
      <c r="B26" s="7" t="s">
        <v>187</v>
      </c>
      <c r="C26" s="7">
        <v>23</v>
      </c>
      <c r="D26" s="7" t="s">
        <v>126</v>
      </c>
      <c r="E26" s="7" t="s">
        <v>36</v>
      </c>
      <c r="F26" s="7" t="s">
        <v>188</v>
      </c>
      <c r="G26" s="7"/>
    </row>
    <row r="27" spans="1:8">
      <c r="A27" s="7" t="s">
        <v>189</v>
      </c>
      <c r="B27" s="7" t="s">
        <v>190</v>
      </c>
      <c r="C27" s="7">
        <v>33</v>
      </c>
      <c r="D27" s="7" t="s">
        <v>126</v>
      </c>
      <c r="E27" s="7" t="s">
        <v>36</v>
      </c>
      <c r="F27" s="7" t="s">
        <v>191</v>
      </c>
      <c r="G27" s="7"/>
    </row>
    <row r="28" spans="1:8">
      <c r="A28" s="7" t="s">
        <v>192</v>
      </c>
      <c r="B28" s="7" t="s">
        <v>193</v>
      </c>
      <c r="C28" s="7">
        <v>40</v>
      </c>
      <c r="D28" s="7" t="s">
        <v>126</v>
      </c>
      <c r="E28" s="7" t="s">
        <v>36</v>
      </c>
      <c r="F28" s="7" t="s">
        <v>194</v>
      </c>
      <c r="G28" s="7"/>
    </row>
    <row r="29" spans="1:8">
      <c r="A29" s="7" t="s">
        <v>195</v>
      </c>
      <c r="B29" s="7" t="s">
        <v>196</v>
      </c>
      <c r="C29" s="7">
        <v>77</v>
      </c>
      <c r="D29" s="7" t="s">
        <v>126</v>
      </c>
      <c r="E29" s="7" t="s">
        <v>36</v>
      </c>
      <c r="F29" s="7" t="s">
        <v>197</v>
      </c>
      <c r="G29" s="7"/>
    </row>
    <row r="30" spans="1:8">
      <c r="A30" s="7" t="s">
        <v>198</v>
      </c>
      <c r="B30" s="7" t="s">
        <v>199</v>
      </c>
      <c r="C30" s="7">
        <v>88</v>
      </c>
      <c r="D30" s="7" t="s">
        <v>126</v>
      </c>
      <c r="E30" s="7" t="s">
        <v>36</v>
      </c>
      <c r="F30" s="7" t="s">
        <v>200</v>
      </c>
      <c r="G30" s="7"/>
    </row>
    <row r="31" spans="1:8">
      <c r="A31" s="18" t="s">
        <v>201</v>
      </c>
      <c r="B31" s="18" t="s">
        <v>202</v>
      </c>
      <c r="C31" s="18">
        <v>98</v>
      </c>
      <c r="D31" s="18" t="s">
        <v>119</v>
      </c>
      <c r="E31" s="18" t="s">
        <v>36</v>
      </c>
      <c r="F31" s="18" t="s">
        <v>203</v>
      </c>
      <c r="G31" s="18"/>
    </row>
    <row r="32" spans="1:8">
      <c r="A32" s="19" t="s">
        <v>204</v>
      </c>
      <c r="B32" s="19" t="s">
        <v>205</v>
      </c>
      <c r="C32" s="19">
        <v>81</v>
      </c>
      <c r="D32" s="19" t="s">
        <v>126</v>
      </c>
      <c r="E32" s="19" t="s">
        <v>36</v>
      </c>
      <c r="F32" s="19" t="s">
        <v>206</v>
      </c>
      <c r="G32" s="19"/>
      <c r="H32" s="13"/>
    </row>
    <row r="33" spans="1:8">
      <c r="A33" s="17" t="s">
        <v>207</v>
      </c>
      <c r="B33" s="17" t="s">
        <v>208</v>
      </c>
      <c r="C33" s="17">
        <v>0</v>
      </c>
      <c r="D33" s="17" t="s">
        <v>119</v>
      </c>
      <c r="E33" s="17" t="s">
        <v>36</v>
      </c>
      <c r="F33" s="17"/>
      <c r="G33" s="17"/>
      <c r="H33" s="13"/>
    </row>
    <row r="34" spans="1:8">
      <c r="A34" s="2"/>
      <c r="B34" s="2"/>
      <c r="C34" s="2"/>
      <c r="D34" s="2"/>
      <c r="E34" s="2"/>
      <c r="F34" s="2"/>
      <c r="G34" s="2"/>
    </row>
    <row r="35" spans="1:8">
      <c r="A35" s="2"/>
      <c r="B35" s="2"/>
      <c r="C35" s="2"/>
      <c r="D35" s="2"/>
      <c r="E35" s="2"/>
      <c r="F35" s="2"/>
      <c r="G35" s="2"/>
    </row>
    <row r="36" spans="1:8">
      <c r="A36" s="2"/>
      <c r="B36" s="2"/>
      <c r="C36" s="2"/>
      <c r="D36" s="2"/>
      <c r="E36" s="2"/>
      <c r="F36" s="2"/>
      <c r="G36" s="2"/>
    </row>
    <row r="37" spans="1:8">
      <c r="A37" s="2"/>
      <c r="B37" s="2"/>
      <c r="C37" s="2"/>
      <c r="D37" s="2"/>
      <c r="E37" s="2"/>
      <c r="F37" s="2"/>
      <c r="G37" s="2"/>
    </row>
    <row r="38" spans="1:8">
      <c r="A38" s="2"/>
      <c r="B38" s="2"/>
      <c r="C38" s="2"/>
      <c r="D38" s="2"/>
      <c r="E38" s="2"/>
      <c r="F38" s="2"/>
      <c r="G38" s="2"/>
    </row>
    <row r="39" spans="1:8">
      <c r="A39" s="2"/>
      <c r="B39" s="2"/>
      <c r="C39" s="2"/>
      <c r="D39" s="2"/>
      <c r="E39" s="2"/>
      <c r="F39" s="2"/>
      <c r="G39" s="2"/>
    </row>
    <row r="40" spans="1:8">
      <c r="A40" s="2"/>
      <c r="B40" s="2"/>
      <c r="C40" s="2"/>
      <c r="D40" s="2"/>
      <c r="E40" s="2"/>
      <c r="F40" s="2"/>
      <c r="G40" s="2"/>
    </row>
    <row r="41" spans="1:8">
      <c r="A41" s="2"/>
      <c r="B41" s="2"/>
      <c r="C41" s="2"/>
      <c r="D41" s="2"/>
      <c r="E41" s="2"/>
      <c r="F41" s="2"/>
      <c r="G41" s="2"/>
    </row>
    <row r="42" spans="1:8">
      <c r="A42" s="2"/>
      <c r="B42" s="2"/>
      <c r="C42" s="2"/>
      <c r="D42" s="2"/>
      <c r="E42" s="2"/>
      <c r="F42" s="2"/>
      <c r="G42" s="2"/>
    </row>
    <row r="43" spans="1:8">
      <c r="A43" s="2"/>
      <c r="B43" s="2"/>
      <c r="C43" s="2"/>
      <c r="D43" s="2"/>
      <c r="E43" s="2"/>
      <c r="F43" s="2"/>
      <c r="G43" s="2"/>
    </row>
    <row r="44" spans="1:8">
      <c r="A44" s="2"/>
      <c r="B44" s="2"/>
      <c r="C44" s="2"/>
      <c r="D44" s="2"/>
      <c r="E44" s="2"/>
      <c r="F44" s="2"/>
      <c r="G44" s="2"/>
    </row>
    <row r="45" spans="1:8">
      <c r="A45" s="2"/>
      <c r="B45" s="2"/>
      <c r="C45" s="2"/>
      <c r="D45" s="2"/>
      <c r="E45" s="2"/>
      <c r="F45" s="2"/>
      <c r="G45" s="2"/>
    </row>
    <row r="46" spans="1:8">
      <c r="A46" s="2"/>
      <c r="B46" s="2"/>
      <c r="C46" s="2"/>
      <c r="D46" s="2"/>
      <c r="E46" s="2"/>
      <c r="F46" s="2"/>
      <c r="G46" s="2"/>
    </row>
    <row r="47" spans="1:8">
      <c r="A47" s="2"/>
      <c r="B47" s="2"/>
      <c r="C47" s="2"/>
      <c r="D47" s="2"/>
      <c r="E47" s="2"/>
      <c r="F47" s="2"/>
      <c r="G47" s="2"/>
    </row>
    <row r="48" spans="1:8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/>
      <c r="B92" s="2"/>
      <c r="C92" s="2"/>
      <c r="D92" s="2"/>
      <c r="E92" s="2"/>
      <c r="F92" s="2"/>
      <c r="G92" s="2"/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/>
      <c r="B101" s="2"/>
      <c r="C101" s="2"/>
      <c r="D101" s="2"/>
      <c r="E101" s="2"/>
      <c r="F101" s="2"/>
      <c r="G101" s="2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>
      <c r="A143" s="2"/>
      <c r="B143" s="2"/>
      <c r="C143" s="2"/>
      <c r="D143" s="2"/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>
      <c r="A146" s="2"/>
      <c r="B146" s="2"/>
      <c r="C146" s="2"/>
      <c r="D146" s="2"/>
      <c r="E146" s="2"/>
      <c r="F146" s="2"/>
      <c r="G146" s="2"/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>
      <c r="A149" s="2"/>
      <c r="B149" s="2"/>
      <c r="C149" s="2"/>
      <c r="D149" s="2"/>
      <c r="E149" s="2"/>
      <c r="F149" s="2"/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>
      <c r="A152" s="2"/>
      <c r="B152" s="2"/>
      <c r="C152" s="2"/>
      <c r="D152" s="2"/>
      <c r="E152" s="2"/>
      <c r="F152" s="2"/>
      <c r="G152" s="2"/>
    </row>
    <row r="153" spans="1:7">
      <c r="A153" s="2"/>
      <c r="B153" s="2"/>
      <c r="C153" s="2"/>
      <c r="D153" s="2"/>
      <c r="E153" s="2"/>
      <c r="F153" s="2"/>
      <c r="G153" s="2"/>
    </row>
    <row r="154" spans="1:7">
      <c r="A154" s="2"/>
      <c r="B154" s="2"/>
      <c r="C154" s="2"/>
      <c r="D154" s="2"/>
      <c r="E154" s="2"/>
      <c r="F154" s="2"/>
      <c r="G154" s="2"/>
    </row>
    <row r="155" spans="1:7">
      <c r="A155" s="2"/>
      <c r="B155" s="2"/>
      <c r="C155" s="2"/>
      <c r="D155" s="2"/>
      <c r="E155" s="2"/>
      <c r="F155" s="2"/>
      <c r="G155" s="2"/>
    </row>
    <row r="156" spans="1:7">
      <c r="A156" s="2"/>
      <c r="B156" s="2"/>
      <c r="C156" s="2"/>
      <c r="D156" s="2"/>
      <c r="E156" s="2"/>
      <c r="F156" s="2"/>
      <c r="G156" s="2"/>
    </row>
    <row r="157" spans="1:7">
      <c r="A157" s="2"/>
      <c r="B157" s="2"/>
      <c r="C157" s="2"/>
      <c r="D157" s="2"/>
      <c r="E157" s="2"/>
      <c r="F157" s="2"/>
      <c r="G157" s="2"/>
    </row>
    <row r="158" spans="1:7">
      <c r="A158" s="2"/>
      <c r="B158" s="2"/>
      <c r="C158" s="2"/>
      <c r="D158" s="2"/>
      <c r="E158" s="2"/>
      <c r="F158" s="2"/>
      <c r="G158" s="2"/>
    </row>
    <row r="159" spans="1:7">
      <c r="A159" s="2"/>
      <c r="B159" s="2"/>
      <c r="C159" s="2"/>
      <c r="D159" s="2"/>
      <c r="E159" s="2"/>
      <c r="F159" s="2"/>
      <c r="G159" s="2"/>
    </row>
    <row r="160" spans="1:7">
      <c r="A160" s="2"/>
      <c r="B160" s="2"/>
      <c r="C160" s="2"/>
      <c r="D160" s="2"/>
      <c r="E160" s="2"/>
      <c r="F160" s="2"/>
      <c r="G160" s="2"/>
    </row>
    <row r="161" spans="1:7">
      <c r="A161" s="2"/>
      <c r="B161" s="2"/>
      <c r="C161" s="2"/>
      <c r="D161" s="2"/>
      <c r="E161" s="2"/>
      <c r="F161" s="2"/>
      <c r="G161" s="2"/>
    </row>
    <row r="162" spans="1:7">
      <c r="A162" s="2"/>
      <c r="B162" s="2"/>
      <c r="C162" s="2"/>
      <c r="D162" s="2"/>
      <c r="E162" s="2"/>
      <c r="F162" s="2"/>
      <c r="G162" s="2"/>
    </row>
    <row r="163" spans="1:7">
      <c r="A163" s="2"/>
      <c r="B163" s="2"/>
      <c r="C163" s="2"/>
      <c r="D163" s="2"/>
      <c r="E163" s="2"/>
      <c r="F163" s="2"/>
      <c r="G163" s="2"/>
    </row>
    <row r="164" spans="1:7">
      <c r="A164" s="2"/>
      <c r="B164" s="2"/>
      <c r="C164" s="2"/>
      <c r="D164" s="2"/>
      <c r="E164" s="2"/>
      <c r="F164" s="2"/>
      <c r="G164" s="2"/>
    </row>
    <row r="165" spans="1:7">
      <c r="A165" s="2"/>
      <c r="B165" s="2"/>
      <c r="C165" s="2"/>
      <c r="D165" s="2"/>
      <c r="E165" s="2"/>
      <c r="F165" s="2"/>
      <c r="G165" s="2"/>
    </row>
    <row r="166" spans="1:7">
      <c r="A166" s="2"/>
      <c r="B166" s="2"/>
      <c r="C166" s="2"/>
      <c r="D166" s="2"/>
      <c r="E166" s="2"/>
      <c r="F166" s="2"/>
      <c r="G166" s="2"/>
    </row>
    <row r="167" spans="1:7">
      <c r="A167" s="2"/>
      <c r="B167" s="2"/>
      <c r="C167" s="2"/>
      <c r="D167" s="2"/>
      <c r="E167" s="2"/>
      <c r="F167" s="2"/>
      <c r="G167" s="2"/>
    </row>
    <row r="168" spans="1:7">
      <c r="A168" s="2"/>
      <c r="B168" s="2"/>
      <c r="C168" s="2"/>
      <c r="D168" s="2"/>
      <c r="E168" s="2"/>
      <c r="F168" s="2"/>
      <c r="G168" s="2"/>
    </row>
    <row r="169" spans="1:7">
      <c r="A169" s="2"/>
      <c r="B169" s="2"/>
      <c r="C169" s="2"/>
      <c r="D169" s="2"/>
      <c r="E169" s="2"/>
      <c r="F169" s="2"/>
      <c r="G169" s="2"/>
    </row>
    <row r="170" spans="1:7">
      <c r="A170" s="2"/>
      <c r="B170" s="2"/>
      <c r="C170" s="2"/>
      <c r="D170" s="2"/>
      <c r="E170" s="2"/>
      <c r="F170" s="2"/>
      <c r="G170" s="2"/>
    </row>
    <row r="171" spans="1:7">
      <c r="A171" s="2"/>
      <c r="B171" s="2"/>
      <c r="C171" s="2"/>
      <c r="D171" s="2"/>
      <c r="E171" s="2"/>
      <c r="F171" s="2"/>
      <c r="G171" s="2"/>
    </row>
    <row r="172" spans="1:7">
      <c r="A172" s="2"/>
      <c r="B172" s="2"/>
      <c r="C172" s="2"/>
      <c r="D172" s="2"/>
      <c r="E172" s="2"/>
      <c r="F172" s="2"/>
      <c r="G172" s="2"/>
    </row>
    <row r="173" spans="1:7">
      <c r="A173" s="2"/>
      <c r="B173" s="2"/>
      <c r="C173" s="2"/>
      <c r="D173" s="2"/>
      <c r="E173" s="2"/>
      <c r="F173" s="2"/>
      <c r="G173" s="2"/>
    </row>
    <row r="174" spans="1:7">
      <c r="A174" s="2"/>
      <c r="B174" s="2"/>
      <c r="C174" s="2"/>
      <c r="D174" s="2"/>
      <c r="E174" s="2"/>
      <c r="F174" s="2"/>
      <c r="G174" s="2"/>
    </row>
    <row r="175" spans="1:7">
      <c r="A175" s="2"/>
      <c r="B175" s="2"/>
      <c r="C175" s="2"/>
      <c r="D175" s="2"/>
      <c r="E175" s="2"/>
      <c r="F175" s="2"/>
      <c r="G175" s="2"/>
    </row>
    <row r="176" spans="1:7">
      <c r="A176" s="2"/>
      <c r="B176" s="2"/>
      <c r="C176" s="2"/>
      <c r="D176" s="2"/>
      <c r="E176" s="2"/>
      <c r="F176" s="2"/>
      <c r="G176" s="2"/>
    </row>
    <row r="177" spans="1:7">
      <c r="A177" s="2"/>
      <c r="B177" s="2"/>
      <c r="C177" s="2"/>
      <c r="D177" s="2"/>
      <c r="E177" s="2"/>
      <c r="F177" s="2"/>
      <c r="G177" s="2"/>
    </row>
    <row r="178" spans="1:7">
      <c r="A178" s="2"/>
      <c r="B178" s="2"/>
      <c r="C178" s="2"/>
      <c r="D178" s="2"/>
      <c r="E178" s="2"/>
      <c r="F178" s="2"/>
      <c r="G178" s="2"/>
    </row>
    <row r="179" spans="1:7">
      <c r="A179" s="2"/>
      <c r="B179" s="2"/>
      <c r="C179" s="2"/>
      <c r="D179" s="2"/>
      <c r="E179" s="2"/>
      <c r="F179" s="2"/>
      <c r="G179" s="2"/>
    </row>
    <row r="180" spans="1:7">
      <c r="A180" s="2"/>
      <c r="B180" s="2"/>
      <c r="C180" s="2"/>
      <c r="D180" s="2"/>
      <c r="E180" s="2"/>
      <c r="F180" s="2"/>
      <c r="G180" s="2"/>
    </row>
    <row r="181" spans="1:7">
      <c r="A181" s="2"/>
      <c r="B181" s="2"/>
      <c r="C181" s="2"/>
      <c r="D181" s="2"/>
      <c r="E181" s="2"/>
      <c r="F181" s="2"/>
      <c r="G181" s="2"/>
    </row>
    <row r="182" spans="1:7">
      <c r="A182" s="2"/>
      <c r="B182" s="2"/>
      <c r="C182" s="2"/>
      <c r="D182" s="2"/>
      <c r="E182" s="2"/>
      <c r="F182" s="2"/>
      <c r="G182" s="2"/>
    </row>
    <row r="183" spans="1:7">
      <c r="A183" s="2"/>
      <c r="B183" s="2"/>
      <c r="C183" s="2"/>
      <c r="D183" s="2"/>
      <c r="E183" s="2"/>
      <c r="F183" s="2"/>
      <c r="G183" s="2"/>
    </row>
    <row r="184" spans="1:7">
      <c r="A184" s="2"/>
      <c r="B184" s="2"/>
      <c r="C184" s="2"/>
      <c r="D184" s="2"/>
      <c r="E184" s="2"/>
      <c r="F184" s="2"/>
      <c r="G184" s="2"/>
    </row>
    <row r="185" spans="1:7">
      <c r="A185" s="2"/>
      <c r="B185" s="2"/>
      <c r="C185" s="2"/>
      <c r="D185" s="2"/>
      <c r="E185" s="2"/>
      <c r="F185" s="2"/>
      <c r="G185" s="2"/>
    </row>
    <row r="186" spans="1:7">
      <c r="A186" s="2"/>
      <c r="B186" s="2"/>
      <c r="C186" s="2"/>
      <c r="D186" s="2"/>
      <c r="E186" s="2"/>
      <c r="F186" s="2"/>
      <c r="G186" s="2"/>
    </row>
    <row r="187" spans="1:7">
      <c r="A187" s="2"/>
      <c r="B187" s="2"/>
      <c r="C187" s="2"/>
      <c r="D187" s="2"/>
      <c r="E187" s="2"/>
      <c r="F187" s="2"/>
      <c r="G187" s="2"/>
    </row>
    <row r="188" spans="1:7">
      <c r="A188" s="2"/>
      <c r="B188" s="2"/>
      <c r="C188" s="2"/>
      <c r="D188" s="2"/>
      <c r="E188" s="2"/>
      <c r="F188" s="2"/>
      <c r="G188" s="2"/>
    </row>
    <row r="189" spans="1:7">
      <c r="A189" s="2"/>
      <c r="B189" s="2"/>
      <c r="C189" s="2"/>
      <c r="D189" s="2"/>
      <c r="E189" s="2"/>
      <c r="F189" s="2"/>
      <c r="G189" s="2"/>
    </row>
    <row r="190" spans="1:7">
      <c r="A190" s="2"/>
      <c r="B190" s="2"/>
      <c r="C190" s="2"/>
      <c r="D190" s="2"/>
      <c r="E190" s="2"/>
      <c r="F190" s="2"/>
      <c r="G190" s="2"/>
    </row>
    <row r="191" spans="1:7">
      <c r="A191" s="2"/>
      <c r="B191" s="2"/>
      <c r="C191" s="2"/>
      <c r="D191" s="2"/>
      <c r="E191" s="2"/>
      <c r="F191" s="2"/>
      <c r="G191" s="2"/>
    </row>
    <row r="192" spans="1:7">
      <c r="A192" s="2"/>
      <c r="B192" s="2"/>
      <c r="C192" s="2"/>
      <c r="D192" s="2"/>
      <c r="E192" s="2"/>
      <c r="F192" s="2"/>
      <c r="G192" s="2"/>
    </row>
    <row r="193" spans="1:7">
      <c r="A193" s="2"/>
      <c r="B193" s="2"/>
      <c r="C193" s="2"/>
      <c r="D193" s="2"/>
      <c r="E193" s="2"/>
      <c r="F193" s="2"/>
      <c r="G193" s="2"/>
    </row>
    <row r="194" spans="1:7">
      <c r="A194" s="2"/>
      <c r="B194" s="2"/>
      <c r="C194" s="2"/>
      <c r="D194" s="2"/>
      <c r="E194" s="2"/>
      <c r="F194" s="2"/>
      <c r="G194" s="2"/>
    </row>
    <row r="195" spans="1:7">
      <c r="A195" s="2"/>
      <c r="B195" s="2"/>
      <c r="C195" s="2"/>
      <c r="D195" s="2"/>
      <c r="E195" s="2"/>
      <c r="F195" s="2"/>
      <c r="G195" s="2"/>
    </row>
    <row r="196" spans="1:7">
      <c r="A196" s="2"/>
      <c r="B196" s="2"/>
      <c r="C196" s="2"/>
      <c r="D196" s="2"/>
      <c r="E196" s="2"/>
      <c r="F196" s="2"/>
      <c r="G196" s="2"/>
    </row>
    <row r="197" spans="1:7">
      <c r="A197" s="2"/>
      <c r="B197" s="2"/>
      <c r="C197" s="2"/>
      <c r="D197" s="2"/>
      <c r="E197" s="2"/>
      <c r="F197" s="2"/>
      <c r="G197" s="2"/>
    </row>
    <row r="198" spans="1:7">
      <c r="A198" s="2"/>
      <c r="B198" s="2"/>
      <c r="C198" s="2"/>
      <c r="D198" s="2"/>
      <c r="E198" s="2"/>
      <c r="F198" s="2"/>
      <c r="G198" s="2"/>
    </row>
    <row r="199" spans="1:7">
      <c r="A199" s="2"/>
      <c r="B199" s="2"/>
      <c r="C199" s="2"/>
      <c r="D199" s="2"/>
      <c r="E199" s="2"/>
      <c r="F199" s="2"/>
      <c r="G199" s="2"/>
    </row>
    <row r="200" spans="1:7">
      <c r="A200" s="2"/>
      <c r="B200" s="2"/>
      <c r="C200" s="2"/>
      <c r="D200" s="2"/>
      <c r="E200" s="2"/>
      <c r="F200" s="2"/>
      <c r="G200" s="2"/>
    </row>
  </sheetData>
  <mergeCells count="1">
    <mergeCell ref="A1:G1"/>
  </mergeCells>
  <dataValidations count="2">
    <dataValidation type="list" sqref="D4:D200" xr:uid="{00000000-0002-0000-0100-000000000000}">
      <formula1>"Forward,Defence,Netminder"</formula1>
    </dataValidation>
    <dataValidation type="list" sqref="E4:E200" xr:uid="{00000000-0002-0000-0100-000001000000}">
      <formula1>"Yes,No"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0"/>
  <sheetViews>
    <sheetView zoomScaleNormal="100" zoomScaleSheetLayoutView="100" workbookViewId="0">
      <selection activeCell="L12" sqref="L12"/>
    </sheetView>
  </sheetViews>
  <sheetFormatPr defaultRowHeight="14.25" customHeight="1"/>
  <cols>
    <col min="1" max="1" width="8.125" customWidth="1"/>
    <col min="2" max="2" width="12.875" customWidth="1"/>
    <col min="3" max="3" width="7.25" customWidth="1"/>
    <col min="4" max="4" width="18.25" customWidth="1"/>
    <col min="5" max="5" width="5.625" customWidth="1"/>
    <col min="6" max="6" width="11.125" customWidth="1"/>
    <col min="7" max="7" width="15.125" customWidth="1"/>
    <col min="8" max="8" width="16.625" customWidth="1"/>
    <col min="9" max="9" width="6.75" customWidth="1"/>
    <col min="10" max="10" width="6.25" customWidth="1"/>
    <col min="11" max="11" width="35.375" bestFit="1" customWidth="1"/>
    <col min="12" max="12" width="9.125" bestFit="1" customWidth="1"/>
    <col min="13" max="13" width="8.75" customWidth="1"/>
  </cols>
  <sheetData>
    <row r="1" spans="1:13" ht="20.25">
      <c r="A1" s="22" t="s">
        <v>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/>
    <row r="3" spans="1:13" ht="30">
      <c r="A3" s="6" t="s">
        <v>209</v>
      </c>
      <c r="B3" s="6" t="s">
        <v>210</v>
      </c>
      <c r="C3" s="6" t="s">
        <v>211</v>
      </c>
      <c r="D3" s="6" t="s">
        <v>212</v>
      </c>
      <c r="E3" s="6" t="s">
        <v>213</v>
      </c>
      <c r="F3" s="6" t="s">
        <v>214</v>
      </c>
      <c r="G3" s="6" t="s">
        <v>215</v>
      </c>
      <c r="H3" s="6" t="s">
        <v>216</v>
      </c>
      <c r="I3" s="6" t="s">
        <v>217</v>
      </c>
      <c r="J3" s="6" t="s">
        <v>218</v>
      </c>
      <c r="K3" s="6" t="s">
        <v>219</v>
      </c>
      <c r="L3" s="6" t="s">
        <v>220</v>
      </c>
      <c r="M3" s="6" t="s">
        <v>116</v>
      </c>
    </row>
    <row r="4" spans="1:13">
      <c r="A4" s="7" t="s">
        <v>221</v>
      </c>
      <c r="B4" s="8">
        <v>46264</v>
      </c>
      <c r="C4" s="9">
        <v>0.71875</v>
      </c>
      <c r="D4" s="7" t="s">
        <v>37</v>
      </c>
      <c r="E4" s="7" t="s">
        <v>222</v>
      </c>
      <c r="F4" s="7" t="s">
        <v>223</v>
      </c>
      <c r="G4" s="7">
        <v>12</v>
      </c>
      <c r="H4" s="7">
        <v>2</v>
      </c>
      <c r="I4" s="10" t="str">
        <f t="shared" ref="I4:I35" si="0">IF(OR(G4="",H4=""),"",IF(G4&gt;H4,"W",IF(G4&lt;H4,"L","T")))</f>
        <v>W</v>
      </c>
      <c r="J4" s="7"/>
      <c r="K4" s="7" t="s">
        <v>41</v>
      </c>
      <c r="L4" s="7"/>
      <c r="M4" s="7"/>
    </row>
    <row r="5" spans="1:13">
      <c r="A5" s="7" t="s">
        <v>225</v>
      </c>
      <c r="B5" s="8">
        <v>46270</v>
      </c>
      <c r="C5" s="9">
        <v>0.76041666666666663</v>
      </c>
      <c r="D5" s="7" t="s">
        <v>42</v>
      </c>
      <c r="E5" s="7" t="s">
        <v>222</v>
      </c>
      <c r="F5" s="7" t="s">
        <v>223</v>
      </c>
      <c r="G5" s="7">
        <v>5</v>
      </c>
      <c r="H5" s="7">
        <v>4</v>
      </c>
      <c r="I5" s="10" t="s">
        <v>273</v>
      </c>
      <c r="J5" s="7" t="s">
        <v>294</v>
      </c>
      <c r="K5" s="7" t="s">
        <v>46</v>
      </c>
      <c r="L5" s="7"/>
      <c r="M5" s="7"/>
    </row>
    <row r="6" spans="1:13">
      <c r="A6" s="7" t="s">
        <v>226</v>
      </c>
      <c r="B6" s="8">
        <v>46278</v>
      </c>
      <c r="C6" s="9">
        <v>0.77083333333333337</v>
      </c>
      <c r="D6" s="7" t="s">
        <v>47</v>
      </c>
      <c r="E6" s="7" t="s">
        <v>227</v>
      </c>
      <c r="F6" s="7" t="s">
        <v>228</v>
      </c>
      <c r="G6" s="7">
        <v>5</v>
      </c>
      <c r="H6" s="7">
        <v>0</v>
      </c>
      <c r="I6" s="10" t="str">
        <f t="shared" si="0"/>
        <v>W</v>
      </c>
      <c r="J6" s="7"/>
      <c r="K6" s="7" t="s">
        <v>229</v>
      </c>
      <c r="L6" s="7"/>
      <c r="M6" s="7"/>
    </row>
    <row r="7" spans="1:13">
      <c r="A7" s="7" t="s">
        <v>230</v>
      </c>
      <c r="B7" s="8">
        <v>46284</v>
      </c>
      <c r="C7" s="9">
        <v>0.79166666666666663</v>
      </c>
      <c r="D7" s="7" t="s">
        <v>52</v>
      </c>
      <c r="E7" s="7" t="s">
        <v>222</v>
      </c>
      <c r="F7" s="7" t="s">
        <v>228</v>
      </c>
      <c r="G7" s="7">
        <v>4</v>
      </c>
      <c r="H7" s="7">
        <v>5</v>
      </c>
      <c r="I7" s="10" t="s">
        <v>276</v>
      </c>
      <c r="J7" s="7" t="s">
        <v>295</v>
      </c>
      <c r="K7" s="7" t="s">
        <v>56</v>
      </c>
      <c r="L7" s="7"/>
      <c r="M7" s="7"/>
    </row>
    <row r="8" spans="1:13">
      <c r="A8" s="7" t="s">
        <v>231</v>
      </c>
      <c r="B8" s="8">
        <v>46285</v>
      </c>
      <c r="C8" s="9">
        <v>0.77083333333333337</v>
      </c>
      <c r="D8" s="7" t="s">
        <v>58</v>
      </c>
      <c r="E8" s="7" t="s">
        <v>227</v>
      </c>
      <c r="F8" s="7" t="s">
        <v>232</v>
      </c>
      <c r="G8" s="7">
        <v>6</v>
      </c>
      <c r="H8" s="7">
        <v>7</v>
      </c>
      <c r="I8" s="10" t="str">
        <f t="shared" si="0"/>
        <v>L</v>
      </c>
      <c r="J8" s="7" t="s">
        <v>294</v>
      </c>
      <c r="K8" s="7" t="s">
        <v>229</v>
      </c>
      <c r="L8" s="7"/>
      <c r="M8" s="7"/>
    </row>
    <row r="9" spans="1:13">
      <c r="A9" s="7" t="s">
        <v>233</v>
      </c>
      <c r="B9" s="8">
        <v>46291</v>
      </c>
      <c r="C9" s="9">
        <v>0.78125</v>
      </c>
      <c r="D9" s="7" t="s">
        <v>74</v>
      </c>
      <c r="E9" s="7" t="s">
        <v>222</v>
      </c>
      <c r="F9" s="7" t="s">
        <v>232</v>
      </c>
      <c r="G9" s="7">
        <v>1</v>
      </c>
      <c r="H9" s="7">
        <v>2</v>
      </c>
      <c r="I9" s="10" t="str">
        <f t="shared" si="0"/>
        <v>L</v>
      </c>
      <c r="J9" s="7"/>
      <c r="K9" s="7" t="s">
        <v>78</v>
      </c>
      <c r="L9" s="7"/>
      <c r="M9" s="7"/>
    </row>
    <row r="10" spans="1:13">
      <c r="A10" s="7" t="s">
        <v>234</v>
      </c>
      <c r="B10" s="8">
        <v>46292</v>
      </c>
      <c r="C10" s="9">
        <v>0.77083333333333337</v>
      </c>
      <c r="D10" s="7" t="s">
        <v>85</v>
      </c>
      <c r="E10" s="7" t="s">
        <v>227</v>
      </c>
      <c r="F10" s="7" t="s">
        <v>228</v>
      </c>
      <c r="G10" s="7">
        <v>5</v>
      </c>
      <c r="H10" s="7">
        <v>3</v>
      </c>
      <c r="I10" s="10" t="s">
        <v>273</v>
      </c>
      <c r="J10" s="7"/>
      <c r="K10" s="7" t="s">
        <v>229</v>
      </c>
      <c r="L10" s="7"/>
      <c r="M10" s="7"/>
    </row>
    <row r="11" spans="1:13">
      <c r="A11" s="7" t="s">
        <v>235</v>
      </c>
      <c r="B11" s="8">
        <v>46298</v>
      </c>
      <c r="C11" s="9">
        <v>0.77083333333333337</v>
      </c>
      <c r="D11" s="7" t="s">
        <v>101</v>
      </c>
      <c r="E11" s="7" t="s">
        <v>227</v>
      </c>
      <c r="F11" s="7" t="s">
        <v>228</v>
      </c>
      <c r="G11" s="7">
        <v>4</v>
      </c>
      <c r="H11" s="7">
        <v>1</v>
      </c>
      <c r="I11" s="10" t="str">
        <f t="shared" si="0"/>
        <v>W</v>
      </c>
      <c r="J11" s="7"/>
      <c r="K11" s="7" t="s">
        <v>229</v>
      </c>
      <c r="L11" s="7"/>
      <c r="M11" s="7"/>
    </row>
    <row r="12" spans="1:13">
      <c r="A12" s="7" t="s">
        <v>236</v>
      </c>
      <c r="B12" s="8">
        <v>46306</v>
      </c>
      <c r="C12" s="9">
        <v>0.77083333333333337</v>
      </c>
      <c r="D12" s="7" t="s">
        <v>106</v>
      </c>
      <c r="E12" s="7" t="s">
        <v>227</v>
      </c>
      <c r="F12" s="7" t="s">
        <v>232</v>
      </c>
      <c r="G12" s="7">
        <v>7</v>
      </c>
      <c r="H12" s="7">
        <v>0</v>
      </c>
      <c r="I12" s="10" t="s">
        <v>273</v>
      </c>
      <c r="J12" s="7"/>
      <c r="K12" s="7" t="s">
        <v>229</v>
      </c>
      <c r="L12" s="7"/>
      <c r="M12" s="7"/>
    </row>
    <row r="13" spans="1:13">
      <c r="A13" s="7" t="s">
        <v>237</v>
      </c>
      <c r="B13" s="8">
        <v>46312</v>
      </c>
      <c r="C13" s="9">
        <v>0.72916666666666663</v>
      </c>
      <c r="D13" s="7" t="s">
        <v>101</v>
      </c>
      <c r="E13" s="7" t="s">
        <v>222</v>
      </c>
      <c r="F13" s="7" t="s">
        <v>228</v>
      </c>
      <c r="G13" s="7"/>
      <c r="H13" s="7"/>
      <c r="I13" s="10" t="str">
        <f t="shared" si="0"/>
        <v/>
      </c>
      <c r="J13" s="7"/>
      <c r="K13" s="7" t="s">
        <v>105</v>
      </c>
      <c r="L13" s="7" t="s">
        <v>224</v>
      </c>
      <c r="M13" s="7"/>
    </row>
    <row r="14" spans="1:13">
      <c r="A14" s="7" t="s">
        <v>238</v>
      </c>
      <c r="B14" s="8">
        <v>46320</v>
      </c>
      <c r="C14" s="9">
        <v>0.77083333333333304</v>
      </c>
      <c r="D14" s="7" t="s">
        <v>95</v>
      </c>
      <c r="E14" s="7" t="s">
        <v>227</v>
      </c>
      <c r="F14" s="7" t="s">
        <v>228</v>
      </c>
      <c r="G14" s="7"/>
      <c r="H14" s="7"/>
      <c r="I14" s="10" t="str">
        <f t="shared" si="0"/>
        <v/>
      </c>
      <c r="J14" s="7"/>
      <c r="K14" s="7" t="s">
        <v>229</v>
      </c>
      <c r="L14" s="7" t="s">
        <v>224</v>
      </c>
      <c r="M14" s="7"/>
    </row>
    <row r="15" spans="1:13">
      <c r="A15" s="7" t="s">
        <v>239</v>
      </c>
      <c r="B15" s="8">
        <v>46327</v>
      </c>
      <c r="C15" s="9">
        <v>0.75</v>
      </c>
      <c r="D15" s="7" t="s">
        <v>47</v>
      </c>
      <c r="E15" s="7" t="s">
        <v>222</v>
      </c>
      <c r="F15" s="7" t="s">
        <v>228</v>
      </c>
      <c r="G15" s="7"/>
      <c r="H15" s="7"/>
      <c r="I15" s="10" t="str">
        <f t="shared" si="0"/>
        <v/>
      </c>
      <c r="J15" s="7"/>
      <c r="K15" s="7" t="s">
        <v>51</v>
      </c>
      <c r="L15" s="7" t="s">
        <v>224</v>
      </c>
      <c r="M15" s="7"/>
    </row>
    <row r="16" spans="1:13">
      <c r="A16" s="7" t="s">
        <v>240</v>
      </c>
      <c r="B16" s="8">
        <v>46334</v>
      </c>
      <c r="C16" s="9">
        <v>0.75</v>
      </c>
      <c r="D16" s="7" t="s">
        <v>52</v>
      </c>
      <c r="E16" s="7" t="s">
        <v>227</v>
      </c>
      <c r="F16" s="7" t="s">
        <v>228</v>
      </c>
      <c r="G16" s="7"/>
      <c r="H16" s="7"/>
      <c r="I16" s="10" t="str">
        <f t="shared" si="0"/>
        <v/>
      </c>
      <c r="J16" s="7"/>
      <c r="K16" s="7" t="s">
        <v>229</v>
      </c>
      <c r="L16" s="7" t="s">
        <v>224</v>
      </c>
      <c r="M16" s="7"/>
    </row>
    <row r="17" spans="1:13">
      <c r="A17" s="7" t="s">
        <v>241</v>
      </c>
      <c r="B17" s="8">
        <v>46340</v>
      </c>
      <c r="C17" s="9">
        <v>0.79166666666666696</v>
      </c>
      <c r="D17" s="7" t="s">
        <v>74</v>
      </c>
      <c r="E17" s="7" t="s">
        <v>227</v>
      </c>
      <c r="F17" s="7" t="s">
        <v>232</v>
      </c>
      <c r="G17" s="7"/>
      <c r="H17" s="7"/>
      <c r="I17" s="10" t="str">
        <f t="shared" si="0"/>
        <v/>
      </c>
      <c r="J17" s="7"/>
      <c r="K17" s="7" t="s">
        <v>229</v>
      </c>
      <c r="L17" s="7" t="s">
        <v>224</v>
      </c>
      <c r="M17" s="7"/>
    </row>
    <row r="18" spans="1:13">
      <c r="A18" s="7" t="s">
        <v>242</v>
      </c>
      <c r="B18" s="8">
        <v>46341</v>
      </c>
      <c r="C18" s="9">
        <v>0.70833333333333337</v>
      </c>
      <c r="D18" s="7" t="s">
        <v>95</v>
      </c>
      <c r="E18" s="7" t="s">
        <v>222</v>
      </c>
      <c r="F18" s="7" t="s">
        <v>228</v>
      </c>
      <c r="G18" s="7"/>
      <c r="H18" s="7"/>
      <c r="I18" s="10" t="str">
        <f t="shared" si="0"/>
        <v/>
      </c>
      <c r="J18" s="7"/>
      <c r="K18" s="7" t="s">
        <v>99</v>
      </c>
      <c r="L18" s="7" t="s">
        <v>224</v>
      </c>
      <c r="M18" s="7"/>
    </row>
    <row r="19" spans="1:13">
      <c r="A19" s="7" t="s">
        <v>243</v>
      </c>
      <c r="B19" s="8">
        <v>46354</v>
      </c>
      <c r="C19" s="9">
        <v>0.79166666666666663</v>
      </c>
      <c r="D19" s="7" t="s">
        <v>85</v>
      </c>
      <c r="E19" s="7" t="s">
        <v>222</v>
      </c>
      <c r="F19" s="7" t="s">
        <v>228</v>
      </c>
      <c r="G19" s="7"/>
      <c r="H19" s="7"/>
      <c r="I19" s="10" t="str">
        <f t="shared" si="0"/>
        <v/>
      </c>
      <c r="J19" s="7"/>
      <c r="K19" s="7" t="s">
        <v>89</v>
      </c>
      <c r="L19" s="7" t="s">
        <v>224</v>
      </c>
      <c r="M19" s="7"/>
    </row>
    <row r="20" spans="1:13">
      <c r="A20" s="7" t="s">
        <v>244</v>
      </c>
      <c r="B20" s="8">
        <v>46355</v>
      </c>
      <c r="C20" s="9">
        <v>0.72916666666666663</v>
      </c>
      <c r="D20" s="7" t="s">
        <v>58</v>
      </c>
      <c r="E20" s="7" t="s">
        <v>222</v>
      </c>
      <c r="F20" s="7" t="s">
        <v>232</v>
      </c>
      <c r="G20" s="7"/>
      <c r="H20" s="7"/>
      <c r="I20" s="10" t="str">
        <f t="shared" si="0"/>
        <v/>
      </c>
      <c r="J20" s="7"/>
      <c r="K20" s="7" t="s">
        <v>62</v>
      </c>
      <c r="L20" s="7" t="s">
        <v>224</v>
      </c>
      <c r="M20" s="7"/>
    </row>
    <row r="21" spans="1:13">
      <c r="A21" s="7" t="s">
        <v>245</v>
      </c>
      <c r="B21" s="8">
        <v>46368</v>
      </c>
      <c r="C21" s="9">
        <v>0.8125</v>
      </c>
      <c r="D21" s="7" t="s">
        <v>63</v>
      </c>
      <c r="E21" s="7" t="s">
        <v>222</v>
      </c>
      <c r="F21" s="7" t="s">
        <v>232</v>
      </c>
      <c r="G21" s="7"/>
      <c r="H21" s="7"/>
      <c r="I21" s="10" t="str">
        <f t="shared" si="0"/>
        <v/>
      </c>
      <c r="J21" s="7"/>
      <c r="K21" s="7" t="s">
        <v>67</v>
      </c>
      <c r="L21" s="7" t="s">
        <v>224</v>
      </c>
      <c r="M21" s="7"/>
    </row>
    <row r="22" spans="1:13">
      <c r="A22" s="7" t="s">
        <v>246</v>
      </c>
      <c r="B22" s="8">
        <v>46369</v>
      </c>
      <c r="C22" s="9">
        <v>0.77083333333333337</v>
      </c>
      <c r="D22" s="7" t="s">
        <v>68</v>
      </c>
      <c r="E22" s="7" t="s">
        <v>227</v>
      </c>
      <c r="F22" s="7" t="s">
        <v>232</v>
      </c>
      <c r="G22" s="7"/>
      <c r="H22" s="7"/>
      <c r="I22" s="10" t="str">
        <f t="shared" si="0"/>
        <v/>
      </c>
      <c r="J22" s="7"/>
      <c r="K22" s="7" t="s">
        <v>229</v>
      </c>
      <c r="L22" s="7" t="s">
        <v>224</v>
      </c>
      <c r="M22" s="7"/>
    </row>
    <row r="23" spans="1:13">
      <c r="A23" s="7" t="s">
        <v>247</v>
      </c>
      <c r="B23" s="8">
        <v>46397</v>
      </c>
      <c r="C23" s="9">
        <v>0.77083333333333337</v>
      </c>
      <c r="D23" s="7" t="s">
        <v>80</v>
      </c>
      <c r="E23" s="7" t="s">
        <v>227</v>
      </c>
      <c r="F23" s="7" t="s">
        <v>232</v>
      </c>
      <c r="G23" s="7"/>
      <c r="H23" s="7"/>
      <c r="I23" s="10" t="str">
        <f t="shared" si="0"/>
        <v/>
      </c>
      <c r="J23" s="7"/>
      <c r="K23" s="7" t="s">
        <v>229</v>
      </c>
      <c r="L23" s="7" t="s">
        <v>224</v>
      </c>
      <c r="M23" s="7"/>
    </row>
    <row r="24" spans="1:13">
      <c r="A24" s="7" t="s">
        <v>248</v>
      </c>
      <c r="B24" s="8">
        <v>46417</v>
      </c>
      <c r="C24" s="9">
        <v>0.79166666666666663</v>
      </c>
      <c r="D24" s="7" t="s">
        <v>90</v>
      </c>
      <c r="E24" s="7" t="s">
        <v>227</v>
      </c>
      <c r="F24" s="7" t="s">
        <v>232</v>
      </c>
      <c r="G24" s="7"/>
      <c r="H24" s="7"/>
      <c r="I24" s="10" t="str">
        <f t="shared" si="0"/>
        <v/>
      </c>
      <c r="J24" s="7"/>
      <c r="K24" s="7" t="s">
        <v>229</v>
      </c>
      <c r="L24" s="7" t="s">
        <v>224</v>
      </c>
      <c r="M24" s="7"/>
    </row>
    <row r="25" spans="1:13">
      <c r="A25" s="7" t="s">
        <v>249</v>
      </c>
      <c r="B25" s="8">
        <v>46425</v>
      </c>
      <c r="C25" s="9">
        <v>0.77083333333333337</v>
      </c>
      <c r="D25" s="7" t="s">
        <v>63</v>
      </c>
      <c r="E25" s="7" t="s">
        <v>227</v>
      </c>
      <c r="F25" s="7" t="s">
        <v>232</v>
      </c>
      <c r="G25" s="7"/>
      <c r="H25" s="7"/>
      <c r="I25" s="10" t="str">
        <f t="shared" si="0"/>
        <v/>
      </c>
      <c r="J25" s="7"/>
      <c r="K25" s="7" t="s">
        <v>229</v>
      </c>
      <c r="L25" s="7" t="s">
        <v>224</v>
      </c>
      <c r="M25" s="7"/>
    </row>
    <row r="26" spans="1:13">
      <c r="A26" s="7" t="s">
        <v>250</v>
      </c>
      <c r="B26" s="8">
        <v>46446</v>
      </c>
      <c r="C26" s="9">
        <v>0.76041666666666663</v>
      </c>
      <c r="D26" s="7" t="s">
        <v>80</v>
      </c>
      <c r="E26" s="7" t="s">
        <v>222</v>
      </c>
      <c r="F26" s="7" t="s">
        <v>232</v>
      </c>
      <c r="G26" s="7"/>
      <c r="H26" s="7"/>
      <c r="I26" s="10" t="str">
        <f t="shared" si="0"/>
        <v/>
      </c>
      <c r="J26" s="7"/>
      <c r="K26" s="7" t="s">
        <v>84</v>
      </c>
      <c r="L26" s="7" t="s">
        <v>224</v>
      </c>
      <c r="M26" s="7"/>
    </row>
    <row r="27" spans="1:13">
      <c r="A27" s="7" t="s">
        <v>251</v>
      </c>
      <c r="B27" s="8">
        <v>46452</v>
      </c>
      <c r="C27" s="9">
        <v>0.72916666666666663</v>
      </c>
      <c r="D27" s="7" t="s">
        <v>68</v>
      </c>
      <c r="E27" s="7" t="s">
        <v>222</v>
      </c>
      <c r="F27" s="7" t="s">
        <v>232</v>
      </c>
      <c r="G27" s="7"/>
      <c r="H27" s="7"/>
      <c r="I27" s="10" t="str">
        <f t="shared" si="0"/>
        <v/>
      </c>
      <c r="J27" s="7"/>
      <c r="K27" s="7" t="s">
        <v>72</v>
      </c>
      <c r="L27" s="7" t="s">
        <v>224</v>
      </c>
      <c r="M27" s="7"/>
    </row>
    <row r="28" spans="1:13">
      <c r="A28" s="7" t="s">
        <v>252</v>
      </c>
      <c r="B28" s="8">
        <v>46459</v>
      </c>
      <c r="C28" s="9">
        <v>0.78125</v>
      </c>
      <c r="D28" s="7" t="s">
        <v>106</v>
      </c>
      <c r="E28" s="7" t="s">
        <v>222</v>
      </c>
      <c r="F28" s="7" t="s">
        <v>232</v>
      </c>
      <c r="G28" s="7"/>
      <c r="H28" s="7"/>
      <c r="I28" s="10" t="str">
        <f t="shared" si="0"/>
        <v/>
      </c>
      <c r="J28" s="7"/>
      <c r="K28" s="7" t="s">
        <v>110</v>
      </c>
      <c r="L28" s="7" t="s">
        <v>224</v>
      </c>
      <c r="M28" s="7"/>
    </row>
    <row r="29" spans="1:13">
      <c r="A29" s="7" t="s">
        <v>253</v>
      </c>
      <c r="B29" s="8">
        <v>46467</v>
      </c>
      <c r="C29" s="9">
        <v>0.73958333333333337</v>
      </c>
      <c r="D29" s="7" t="s">
        <v>90</v>
      </c>
      <c r="E29" s="7" t="s">
        <v>222</v>
      </c>
      <c r="F29" s="7" t="s">
        <v>232</v>
      </c>
      <c r="G29" s="7"/>
      <c r="H29" s="7"/>
      <c r="I29" s="10" t="str">
        <f t="shared" si="0"/>
        <v/>
      </c>
      <c r="J29" s="7"/>
      <c r="K29" s="7" t="s">
        <v>94</v>
      </c>
      <c r="L29" s="7" t="s">
        <v>224</v>
      </c>
      <c r="M29" s="7"/>
    </row>
    <row r="30" spans="1:13">
      <c r="A30" s="2"/>
      <c r="B30" s="4"/>
      <c r="C30" s="4"/>
      <c r="D30" s="2"/>
      <c r="E30" s="2"/>
      <c r="F30" s="2"/>
      <c r="G30" s="2"/>
      <c r="H30" s="2"/>
      <c r="I30" s="3" t="str">
        <f t="shared" si="0"/>
        <v/>
      </c>
      <c r="J30" s="2"/>
      <c r="K30" s="2"/>
      <c r="L30" s="2"/>
      <c r="M30" s="2"/>
    </row>
    <row r="31" spans="1:13">
      <c r="A31" s="2"/>
      <c r="B31" s="4"/>
      <c r="C31" s="4"/>
      <c r="D31" s="2"/>
      <c r="E31" s="2"/>
      <c r="F31" s="2"/>
      <c r="G31" s="2"/>
      <c r="H31" s="2"/>
      <c r="I31" s="3" t="str">
        <f t="shared" si="0"/>
        <v/>
      </c>
      <c r="J31" s="2"/>
      <c r="K31" s="2"/>
      <c r="L31" s="2"/>
      <c r="M31" s="2"/>
    </row>
    <row r="32" spans="1:13">
      <c r="A32" s="2"/>
      <c r="B32" s="4"/>
      <c r="C32" s="4"/>
      <c r="D32" s="2"/>
      <c r="E32" s="2"/>
      <c r="F32" s="2"/>
      <c r="G32" s="2"/>
      <c r="H32" s="2"/>
      <c r="I32" s="3" t="str">
        <f t="shared" si="0"/>
        <v/>
      </c>
      <c r="J32" s="2"/>
      <c r="K32" s="2"/>
      <c r="L32" s="2"/>
      <c r="M32" s="2"/>
    </row>
    <row r="33" spans="1:13">
      <c r="A33" s="2"/>
      <c r="B33" s="4"/>
      <c r="C33" s="4"/>
      <c r="D33" s="2"/>
      <c r="E33" s="2"/>
      <c r="F33" s="2"/>
      <c r="G33" s="2"/>
      <c r="H33" s="2"/>
      <c r="I33" s="3" t="str">
        <f t="shared" si="0"/>
        <v/>
      </c>
      <c r="J33" s="2"/>
      <c r="K33" s="2"/>
      <c r="L33" s="2"/>
      <c r="M33" s="2"/>
    </row>
    <row r="34" spans="1:13">
      <c r="A34" s="2"/>
      <c r="B34" s="4"/>
      <c r="C34" s="4"/>
      <c r="D34" s="2"/>
      <c r="E34" s="2"/>
      <c r="F34" s="2"/>
      <c r="G34" s="2"/>
      <c r="H34" s="2"/>
      <c r="I34" s="3" t="str">
        <f t="shared" si="0"/>
        <v/>
      </c>
      <c r="J34" s="2"/>
      <c r="K34" s="2"/>
      <c r="L34" s="2"/>
      <c r="M34" s="2"/>
    </row>
    <row r="35" spans="1:13">
      <c r="A35" s="2"/>
      <c r="B35" s="4"/>
      <c r="C35" s="4"/>
      <c r="D35" s="2"/>
      <c r="E35" s="2"/>
      <c r="F35" s="2"/>
      <c r="G35" s="2"/>
      <c r="H35" s="2"/>
      <c r="I35" s="3" t="str">
        <f t="shared" si="0"/>
        <v/>
      </c>
      <c r="J35" s="2"/>
      <c r="K35" s="2"/>
      <c r="L35" s="2"/>
      <c r="M35" s="2"/>
    </row>
    <row r="36" spans="1:13">
      <c r="A36" s="2"/>
      <c r="B36" s="4"/>
      <c r="C36" s="4"/>
      <c r="D36" s="2"/>
      <c r="E36" s="2"/>
      <c r="F36" s="2"/>
      <c r="G36" s="2"/>
      <c r="H36" s="2"/>
      <c r="I36" s="3" t="str">
        <f t="shared" ref="I36:I67" si="1">IF(OR(G36="",H36=""),"",IF(G36&gt;H36,"W",IF(G36&lt;H36,"L","T")))</f>
        <v/>
      </c>
      <c r="J36" s="2"/>
      <c r="K36" s="2"/>
      <c r="L36" s="2"/>
      <c r="M36" s="2"/>
    </row>
    <row r="37" spans="1:13">
      <c r="A37" s="2"/>
      <c r="B37" s="4"/>
      <c r="C37" s="4"/>
      <c r="D37" s="2"/>
      <c r="E37" s="2"/>
      <c r="F37" s="2"/>
      <c r="G37" s="2"/>
      <c r="H37" s="2"/>
      <c r="I37" s="3" t="str">
        <f t="shared" si="1"/>
        <v/>
      </c>
      <c r="J37" s="2"/>
      <c r="K37" s="2"/>
      <c r="L37" s="2"/>
      <c r="M37" s="2"/>
    </row>
    <row r="38" spans="1:13">
      <c r="A38" s="2"/>
      <c r="B38" s="4"/>
      <c r="C38" s="4"/>
      <c r="D38" s="2"/>
      <c r="E38" s="2"/>
      <c r="F38" s="2"/>
      <c r="G38" s="2"/>
      <c r="H38" s="2"/>
      <c r="I38" s="3" t="str">
        <f t="shared" si="1"/>
        <v/>
      </c>
      <c r="J38" s="2"/>
      <c r="K38" s="2"/>
      <c r="L38" s="2"/>
      <c r="M38" s="2"/>
    </row>
    <row r="39" spans="1:13">
      <c r="A39" s="2"/>
      <c r="B39" s="4"/>
      <c r="C39" s="4"/>
      <c r="D39" s="2"/>
      <c r="E39" s="2"/>
      <c r="F39" s="2"/>
      <c r="G39" s="2"/>
      <c r="H39" s="2"/>
      <c r="I39" s="3" t="str">
        <f t="shared" si="1"/>
        <v/>
      </c>
      <c r="J39" s="2"/>
      <c r="K39" s="2"/>
      <c r="L39" s="2"/>
      <c r="M39" s="2"/>
    </row>
    <row r="40" spans="1:13">
      <c r="A40" s="2"/>
      <c r="B40" s="4"/>
      <c r="C40" s="4"/>
      <c r="D40" s="2"/>
      <c r="E40" s="2"/>
      <c r="F40" s="2"/>
      <c r="G40" s="2"/>
      <c r="H40" s="2"/>
      <c r="I40" s="3" t="str">
        <f t="shared" si="1"/>
        <v/>
      </c>
      <c r="J40" s="2"/>
      <c r="K40" s="2"/>
      <c r="L40" s="2"/>
      <c r="M40" s="2"/>
    </row>
    <row r="41" spans="1:13">
      <c r="A41" s="2"/>
      <c r="B41" s="4"/>
      <c r="C41" s="4"/>
      <c r="D41" s="2"/>
      <c r="E41" s="2"/>
      <c r="F41" s="2"/>
      <c r="G41" s="2"/>
      <c r="H41" s="2"/>
      <c r="I41" s="3" t="str">
        <f t="shared" si="1"/>
        <v/>
      </c>
      <c r="J41" s="2"/>
      <c r="K41" s="2"/>
      <c r="L41" s="2"/>
      <c r="M41" s="2"/>
    </row>
    <row r="42" spans="1:13">
      <c r="A42" s="2"/>
      <c r="B42" s="4"/>
      <c r="C42" s="4"/>
      <c r="D42" s="2"/>
      <c r="E42" s="2"/>
      <c r="F42" s="2"/>
      <c r="G42" s="2"/>
      <c r="H42" s="2"/>
      <c r="I42" s="3" t="str">
        <f t="shared" si="1"/>
        <v/>
      </c>
      <c r="J42" s="2"/>
      <c r="K42" s="2"/>
      <c r="L42" s="2"/>
      <c r="M42" s="2"/>
    </row>
    <row r="43" spans="1:13">
      <c r="A43" s="2"/>
      <c r="B43" s="4"/>
      <c r="C43" s="4"/>
      <c r="D43" s="2"/>
      <c r="E43" s="2"/>
      <c r="F43" s="2"/>
      <c r="G43" s="2"/>
      <c r="H43" s="2"/>
      <c r="I43" s="3" t="str">
        <f t="shared" si="1"/>
        <v/>
      </c>
      <c r="J43" s="2"/>
      <c r="K43" s="2"/>
      <c r="L43" s="2"/>
      <c r="M43" s="2"/>
    </row>
    <row r="44" spans="1:13">
      <c r="A44" s="2"/>
      <c r="B44" s="4"/>
      <c r="C44" s="4"/>
      <c r="D44" s="2"/>
      <c r="E44" s="2"/>
      <c r="F44" s="2"/>
      <c r="G44" s="2"/>
      <c r="H44" s="2"/>
      <c r="I44" s="3" t="str">
        <f t="shared" si="1"/>
        <v/>
      </c>
      <c r="J44" s="2"/>
      <c r="K44" s="2"/>
      <c r="L44" s="2"/>
      <c r="M44" s="2"/>
    </row>
    <row r="45" spans="1:13">
      <c r="A45" s="2"/>
      <c r="B45" s="4"/>
      <c r="C45" s="4"/>
      <c r="D45" s="2"/>
      <c r="E45" s="2"/>
      <c r="F45" s="2"/>
      <c r="G45" s="2"/>
      <c r="H45" s="2"/>
      <c r="I45" s="3" t="str">
        <f t="shared" si="1"/>
        <v/>
      </c>
      <c r="J45" s="2"/>
      <c r="K45" s="2"/>
      <c r="L45" s="2"/>
      <c r="M45" s="2"/>
    </row>
    <row r="46" spans="1:13">
      <c r="A46" s="2"/>
      <c r="B46" s="4"/>
      <c r="C46" s="4"/>
      <c r="D46" s="2"/>
      <c r="E46" s="2"/>
      <c r="F46" s="2"/>
      <c r="G46" s="2"/>
      <c r="H46" s="2"/>
      <c r="I46" s="3" t="str">
        <f t="shared" si="1"/>
        <v/>
      </c>
      <c r="J46" s="2"/>
      <c r="K46" s="2"/>
      <c r="L46" s="2"/>
      <c r="M46" s="2"/>
    </row>
    <row r="47" spans="1:13">
      <c r="A47" s="2"/>
      <c r="B47" s="4"/>
      <c r="C47" s="4"/>
      <c r="D47" s="2"/>
      <c r="E47" s="2"/>
      <c r="F47" s="2"/>
      <c r="G47" s="2"/>
      <c r="H47" s="2"/>
      <c r="I47" s="3" t="str">
        <f t="shared" si="1"/>
        <v/>
      </c>
      <c r="J47" s="2"/>
      <c r="K47" s="2"/>
      <c r="L47" s="2"/>
      <c r="M47" s="2"/>
    </row>
    <row r="48" spans="1:13">
      <c r="A48" s="2"/>
      <c r="B48" s="4"/>
      <c r="C48" s="4"/>
      <c r="D48" s="2"/>
      <c r="E48" s="2"/>
      <c r="F48" s="2"/>
      <c r="G48" s="2"/>
      <c r="H48" s="2"/>
      <c r="I48" s="3" t="str">
        <f t="shared" si="1"/>
        <v/>
      </c>
      <c r="J48" s="2"/>
      <c r="K48" s="2"/>
      <c r="L48" s="2"/>
      <c r="M48" s="2"/>
    </row>
    <row r="49" spans="1:13">
      <c r="A49" s="2"/>
      <c r="B49" s="4"/>
      <c r="C49" s="4"/>
      <c r="D49" s="2"/>
      <c r="E49" s="2"/>
      <c r="F49" s="2"/>
      <c r="G49" s="2"/>
      <c r="H49" s="2"/>
      <c r="I49" s="3" t="str">
        <f t="shared" si="1"/>
        <v/>
      </c>
      <c r="J49" s="2"/>
      <c r="K49" s="2"/>
      <c r="L49" s="2"/>
      <c r="M49" s="2"/>
    </row>
    <row r="50" spans="1:13">
      <c r="A50" s="2"/>
      <c r="B50" s="4"/>
      <c r="C50" s="4"/>
      <c r="D50" s="2"/>
      <c r="E50" s="2"/>
      <c r="F50" s="2"/>
      <c r="G50" s="2"/>
      <c r="H50" s="2"/>
      <c r="I50" s="3" t="str">
        <f t="shared" si="1"/>
        <v/>
      </c>
      <c r="J50" s="2"/>
      <c r="K50" s="2"/>
      <c r="L50" s="2"/>
      <c r="M50" s="2"/>
    </row>
    <row r="51" spans="1:13">
      <c r="A51" s="2"/>
      <c r="B51" s="4"/>
      <c r="C51" s="4"/>
      <c r="D51" s="2"/>
      <c r="E51" s="2"/>
      <c r="F51" s="2"/>
      <c r="G51" s="2"/>
      <c r="H51" s="2"/>
      <c r="I51" s="3" t="str">
        <f t="shared" si="1"/>
        <v/>
      </c>
      <c r="J51" s="2"/>
      <c r="K51" s="2"/>
      <c r="L51" s="2"/>
      <c r="M51" s="2"/>
    </row>
    <row r="52" spans="1:13">
      <c r="A52" s="2"/>
      <c r="B52" s="4"/>
      <c r="C52" s="4"/>
      <c r="D52" s="2"/>
      <c r="E52" s="2"/>
      <c r="F52" s="2"/>
      <c r="G52" s="2"/>
      <c r="H52" s="2"/>
      <c r="I52" s="3" t="str">
        <f t="shared" si="1"/>
        <v/>
      </c>
      <c r="J52" s="2"/>
      <c r="K52" s="2"/>
      <c r="L52" s="2"/>
      <c r="M52" s="2"/>
    </row>
    <row r="53" spans="1:13">
      <c r="A53" s="2"/>
      <c r="B53" s="4"/>
      <c r="C53" s="4"/>
      <c r="D53" s="2"/>
      <c r="E53" s="2"/>
      <c r="F53" s="2"/>
      <c r="G53" s="2"/>
      <c r="H53" s="2"/>
      <c r="I53" s="3" t="str">
        <f t="shared" si="1"/>
        <v/>
      </c>
      <c r="J53" s="2"/>
      <c r="K53" s="2"/>
      <c r="L53" s="2"/>
      <c r="M53" s="2"/>
    </row>
    <row r="54" spans="1:13">
      <c r="A54" s="2"/>
      <c r="B54" s="4"/>
      <c r="C54" s="4"/>
      <c r="D54" s="2"/>
      <c r="E54" s="2"/>
      <c r="F54" s="2"/>
      <c r="G54" s="2"/>
      <c r="H54" s="2"/>
      <c r="I54" s="3" t="str">
        <f t="shared" si="1"/>
        <v/>
      </c>
      <c r="J54" s="2"/>
      <c r="K54" s="2"/>
      <c r="L54" s="2"/>
      <c r="M54" s="2"/>
    </row>
    <row r="55" spans="1:13">
      <c r="A55" s="2"/>
      <c r="B55" s="4"/>
      <c r="C55" s="4"/>
      <c r="D55" s="2"/>
      <c r="E55" s="2"/>
      <c r="F55" s="2"/>
      <c r="G55" s="2"/>
      <c r="H55" s="2"/>
      <c r="I55" s="3" t="str">
        <f t="shared" si="1"/>
        <v/>
      </c>
      <c r="J55" s="2"/>
      <c r="K55" s="2"/>
      <c r="L55" s="2"/>
      <c r="M55" s="2"/>
    </row>
    <row r="56" spans="1:13">
      <c r="A56" s="2"/>
      <c r="B56" s="4"/>
      <c r="C56" s="4"/>
      <c r="D56" s="2"/>
      <c r="E56" s="2"/>
      <c r="F56" s="2"/>
      <c r="G56" s="2"/>
      <c r="H56" s="2"/>
      <c r="I56" s="3" t="str">
        <f t="shared" si="1"/>
        <v/>
      </c>
      <c r="J56" s="2"/>
      <c r="K56" s="2"/>
      <c r="L56" s="2"/>
      <c r="M56" s="2"/>
    </row>
    <row r="57" spans="1:13">
      <c r="A57" s="2"/>
      <c r="B57" s="4"/>
      <c r="C57" s="4"/>
      <c r="D57" s="2"/>
      <c r="E57" s="2"/>
      <c r="F57" s="2"/>
      <c r="G57" s="2"/>
      <c r="H57" s="2"/>
      <c r="I57" s="3" t="str">
        <f t="shared" si="1"/>
        <v/>
      </c>
      <c r="J57" s="2"/>
      <c r="K57" s="2"/>
      <c r="L57" s="2"/>
      <c r="M57" s="2"/>
    </row>
    <row r="58" spans="1:13">
      <c r="A58" s="2"/>
      <c r="B58" s="4"/>
      <c r="C58" s="4"/>
      <c r="D58" s="2"/>
      <c r="E58" s="2"/>
      <c r="F58" s="2"/>
      <c r="G58" s="2"/>
      <c r="H58" s="2"/>
      <c r="I58" s="3" t="str">
        <f t="shared" si="1"/>
        <v/>
      </c>
      <c r="J58" s="2"/>
      <c r="K58" s="2"/>
      <c r="L58" s="2"/>
      <c r="M58" s="2"/>
    </row>
    <row r="59" spans="1:13">
      <c r="A59" s="2"/>
      <c r="B59" s="4"/>
      <c r="C59" s="4"/>
      <c r="D59" s="2"/>
      <c r="E59" s="2"/>
      <c r="F59" s="2"/>
      <c r="G59" s="2"/>
      <c r="H59" s="2"/>
      <c r="I59" s="3" t="str">
        <f t="shared" si="1"/>
        <v/>
      </c>
      <c r="J59" s="2"/>
      <c r="K59" s="2"/>
      <c r="L59" s="2"/>
      <c r="M59" s="2"/>
    </row>
    <row r="60" spans="1:13">
      <c r="A60" s="2"/>
      <c r="B60" s="4"/>
      <c r="C60" s="4"/>
      <c r="D60" s="2"/>
      <c r="E60" s="2"/>
      <c r="F60" s="2"/>
      <c r="G60" s="2"/>
      <c r="H60" s="2"/>
      <c r="I60" s="3" t="str">
        <f t="shared" si="1"/>
        <v/>
      </c>
      <c r="J60" s="2"/>
      <c r="K60" s="2"/>
      <c r="L60" s="2"/>
      <c r="M60" s="2"/>
    </row>
    <row r="61" spans="1:13">
      <c r="A61" s="2"/>
      <c r="B61" s="4"/>
      <c r="C61" s="4"/>
      <c r="D61" s="2"/>
      <c r="E61" s="2"/>
      <c r="F61" s="2"/>
      <c r="G61" s="2"/>
      <c r="H61" s="2"/>
      <c r="I61" s="3" t="str">
        <f t="shared" si="1"/>
        <v/>
      </c>
      <c r="J61" s="2"/>
      <c r="K61" s="2"/>
      <c r="L61" s="2"/>
      <c r="M61" s="2"/>
    </row>
    <row r="62" spans="1:13">
      <c r="A62" s="2"/>
      <c r="B62" s="4"/>
      <c r="C62" s="4"/>
      <c r="D62" s="2"/>
      <c r="E62" s="2"/>
      <c r="F62" s="2"/>
      <c r="G62" s="2"/>
      <c r="H62" s="2"/>
      <c r="I62" s="3" t="str">
        <f t="shared" si="1"/>
        <v/>
      </c>
      <c r="J62" s="2"/>
      <c r="K62" s="2"/>
      <c r="L62" s="2"/>
      <c r="M62" s="2"/>
    </row>
    <row r="63" spans="1:13">
      <c r="A63" s="2"/>
      <c r="B63" s="4"/>
      <c r="C63" s="4"/>
      <c r="D63" s="2"/>
      <c r="E63" s="2"/>
      <c r="F63" s="2"/>
      <c r="G63" s="2"/>
      <c r="H63" s="2"/>
      <c r="I63" s="3" t="str">
        <f t="shared" si="1"/>
        <v/>
      </c>
      <c r="J63" s="2"/>
      <c r="K63" s="2"/>
      <c r="L63" s="2"/>
      <c r="M63" s="2"/>
    </row>
    <row r="64" spans="1:13">
      <c r="A64" s="2"/>
      <c r="B64" s="4"/>
      <c r="C64" s="4"/>
      <c r="D64" s="2"/>
      <c r="E64" s="2"/>
      <c r="F64" s="2"/>
      <c r="G64" s="2"/>
      <c r="H64" s="2"/>
      <c r="I64" s="3" t="str">
        <f t="shared" si="1"/>
        <v/>
      </c>
      <c r="J64" s="2"/>
      <c r="K64" s="2"/>
      <c r="L64" s="2"/>
      <c r="M64" s="2"/>
    </row>
    <row r="65" spans="1:13">
      <c r="A65" s="2"/>
      <c r="B65" s="4"/>
      <c r="C65" s="4"/>
      <c r="D65" s="2"/>
      <c r="E65" s="2"/>
      <c r="F65" s="2"/>
      <c r="G65" s="2"/>
      <c r="H65" s="2"/>
      <c r="I65" s="3" t="str">
        <f t="shared" si="1"/>
        <v/>
      </c>
      <c r="J65" s="2"/>
      <c r="K65" s="2"/>
      <c r="L65" s="2"/>
      <c r="M65" s="2"/>
    </row>
    <row r="66" spans="1:13">
      <c r="A66" s="2"/>
      <c r="B66" s="4"/>
      <c r="C66" s="4"/>
      <c r="D66" s="2"/>
      <c r="E66" s="2"/>
      <c r="F66" s="2"/>
      <c r="G66" s="2"/>
      <c r="H66" s="2"/>
      <c r="I66" s="3" t="str">
        <f t="shared" si="1"/>
        <v/>
      </c>
      <c r="J66" s="2"/>
      <c r="K66" s="2"/>
      <c r="L66" s="2"/>
      <c r="M66" s="2"/>
    </row>
    <row r="67" spans="1:13">
      <c r="A67" s="2"/>
      <c r="B67" s="4"/>
      <c r="C67" s="4"/>
      <c r="D67" s="2"/>
      <c r="E67" s="2"/>
      <c r="F67" s="2"/>
      <c r="G67" s="2"/>
      <c r="H67" s="2"/>
      <c r="I67" s="3" t="str">
        <f t="shared" si="1"/>
        <v/>
      </c>
      <c r="J67" s="2"/>
      <c r="K67" s="2"/>
      <c r="L67" s="2"/>
      <c r="M67" s="2"/>
    </row>
    <row r="68" spans="1:13">
      <c r="A68" s="2"/>
      <c r="B68" s="4"/>
      <c r="C68" s="4"/>
      <c r="D68" s="2"/>
      <c r="E68" s="2"/>
      <c r="F68" s="2"/>
      <c r="G68" s="2"/>
      <c r="H68" s="2"/>
      <c r="I68" s="3" t="str">
        <f t="shared" ref="I68:I99" si="2">IF(OR(G68="",H68=""),"",IF(G68&gt;H68,"W",IF(G68&lt;H68,"L","T")))</f>
        <v/>
      </c>
      <c r="J68" s="2"/>
      <c r="K68" s="2"/>
      <c r="L68" s="2"/>
      <c r="M68" s="2"/>
    </row>
    <row r="69" spans="1:13">
      <c r="A69" s="2"/>
      <c r="B69" s="4"/>
      <c r="C69" s="4"/>
      <c r="D69" s="2"/>
      <c r="E69" s="2"/>
      <c r="F69" s="2"/>
      <c r="G69" s="2"/>
      <c r="H69" s="2"/>
      <c r="I69" s="3" t="str">
        <f t="shared" si="2"/>
        <v/>
      </c>
      <c r="J69" s="2"/>
      <c r="K69" s="2"/>
      <c r="L69" s="2"/>
      <c r="M69" s="2"/>
    </row>
    <row r="70" spans="1:13">
      <c r="A70" s="2"/>
      <c r="B70" s="4"/>
      <c r="C70" s="4"/>
      <c r="D70" s="2"/>
      <c r="E70" s="2"/>
      <c r="F70" s="2"/>
      <c r="G70" s="2"/>
      <c r="H70" s="2"/>
      <c r="I70" s="3" t="str">
        <f t="shared" si="2"/>
        <v/>
      </c>
      <c r="J70" s="2"/>
      <c r="K70" s="2"/>
      <c r="L70" s="2"/>
      <c r="M70" s="2"/>
    </row>
    <row r="71" spans="1:13">
      <c r="A71" s="2"/>
      <c r="B71" s="4"/>
      <c r="C71" s="4"/>
      <c r="D71" s="2"/>
      <c r="E71" s="2"/>
      <c r="F71" s="2"/>
      <c r="G71" s="2"/>
      <c r="H71" s="2"/>
      <c r="I71" s="3" t="str">
        <f t="shared" si="2"/>
        <v/>
      </c>
      <c r="J71" s="2"/>
      <c r="K71" s="2"/>
      <c r="L71" s="2"/>
      <c r="M71" s="2"/>
    </row>
    <row r="72" spans="1:13">
      <c r="A72" s="2"/>
      <c r="B72" s="4"/>
      <c r="C72" s="4"/>
      <c r="D72" s="2"/>
      <c r="E72" s="2"/>
      <c r="F72" s="2"/>
      <c r="G72" s="2"/>
      <c r="H72" s="2"/>
      <c r="I72" s="3" t="str">
        <f t="shared" si="2"/>
        <v/>
      </c>
      <c r="J72" s="2"/>
      <c r="K72" s="2"/>
      <c r="L72" s="2"/>
      <c r="M72" s="2"/>
    </row>
    <row r="73" spans="1:13">
      <c r="A73" s="2"/>
      <c r="B73" s="4"/>
      <c r="C73" s="4"/>
      <c r="D73" s="2"/>
      <c r="E73" s="2"/>
      <c r="F73" s="2"/>
      <c r="G73" s="2"/>
      <c r="H73" s="2"/>
      <c r="I73" s="3" t="str">
        <f t="shared" si="2"/>
        <v/>
      </c>
      <c r="J73" s="2"/>
      <c r="K73" s="2"/>
      <c r="L73" s="2"/>
      <c r="M73" s="2"/>
    </row>
    <row r="74" spans="1:13">
      <c r="A74" s="2"/>
      <c r="B74" s="4"/>
      <c r="C74" s="4"/>
      <c r="D74" s="2"/>
      <c r="E74" s="2"/>
      <c r="F74" s="2"/>
      <c r="G74" s="2"/>
      <c r="H74" s="2"/>
      <c r="I74" s="3" t="str">
        <f t="shared" si="2"/>
        <v/>
      </c>
      <c r="J74" s="2"/>
      <c r="K74" s="2"/>
      <c r="L74" s="2"/>
      <c r="M74" s="2"/>
    </row>
    <row r="75" spans="1:13">
      <c r="A75" s="2"/>
      <c r="B75" s="4"/>
      <c r="C75" s="4"/>
      <c r="D75" s="2"/>
      <c r="E75" s="2"/>
      <c r="F75" s="2"/>
      <c r="G75" s="2"/>
      <c r="H75" s="2"/>
      <c r="I75" s="3" t="str">
        <f t="shared" si="2"/>
        <v/>
      </c>
      <c r="J75" s="2"/>
      <c r="K75" s="2"/>
      <c r="L75" s="2"/>
      <c r="M75" s="2"/>
    </row>
    <row r="76" spans="1:13">
      <c r="A76" s="2"/>
      <c r="B76" s="4"/>
      <c r="C76" s="4"/>
      <c r="D76" s="2"/>
      <c r="E76" s="2"/>
      <c r="F76" s="2"/>
      <c r="G76" s="2"/>
      <c r="H76" s="2"/>
      <c r="I76" s="3" t="str">
        <f t="shared" si="2"/>
        <v/>
      </c>
      <c r="J76" s="2"/>
      <c r="K76" s="2"/>
      <c r="L76" s="2"/>
      <c r="M76" s="2"/>
    </row>
    <row r="77" spans="1:13">
      <c r="A77" s="2"/>
      <c r="B77" s="4"/>
      <c r="C77" s="4"/>
      <c r="D77" s="2"/>
      <c r="E77" s="2"/>
      <c r="F77" s="2"/>
      <c r="G77" s="2"/>
      <c r="H77" s="2"/>
      <c r="I77" s="3" t="str">
        <f t="shared" si="2"/>
        <v/>
      </c>
      <c r="J77" s="2"/>
      <c r="K77" s="2"/>
      <c r="L77" s="2"/>
      <c r="M77" s="2"/>
    </row>
    <row r="78" spans="1:13">
      <c r="A78" s="2"/>
      <c r="B78" s="4"/>
      <c r="C78" s="4"/>
      <c r="D78" s="2"/>
      <c r="E78" s="2"/>
      <c r="F78" s="2"/>
      <c r="G78" s="2"/>
      <c r="H78" s="2"/>
      <c r="I78" s="3" t="str">
        <f t="shared" si="2"/>
        <v/>
      </c>
      <c r="J78" s="2"/>
      <c r="K78" s="2"/>
      <c r="L78" s="2"/>
      <c r="M78" s="2"/>
    </row>
    <row r="79" spans="1:13">
      <c r="A79" s="2"/>
      <c r="B79" s="4"/>
      <c r="C79" s="4"/>
      <c r="D79" s="2"/>
      <c r="E79" s="2"/>
      <c r="F79" s="2"/>
      <c r="G79" s="2"/>
      <c r="H79" s="2"/>
      <c r="I79" s="3" t="str">
        <f t="shared" si="2"/>
        <v/>
      </c>
      <c r="J79" s="2"/>
      <c r="K79" s="2"/>
      <c r="L79" s="2"/>
      <c r="M79" s="2"/>
    </row>
    <row r="80" spans="1:13">
      <c r="A80" s="2"/>
      <c r="B80" s="4"/>
      <c r="C80" s="4"/>
      <c r="D80" s="2"/>
      <c r="E80" s="2"/>
      <c r="F80" s="2"/>
      <c r="G80" s="2"/>
      <c r="H80" s="2"/>
      <c r="I80" s="3" t="str">
        <f t="shared" si="2"/>
        <v/>
      </c>
      <c r="J80" s="2"/>
      <c r="K80" s="2"/>
      <c r="L80" s="2"/>
      <c r="M80" s="2"/>
    </row>
    <row r="81" spans="1:13">
      <c r="A81" s="2"/>
      <c r="B81" s="4"/>
      <c r="C81" s="4"/>
      <c r="D81" s="2"/>
      <c r="E81" s="2"/>
      <c r="F81" s="2"/>
      <c r="G81" s="2"/>
      <c r="H81" s="2"/>
      <c r="I81" s="3" t="str">
        <f t="shared" si="2"/>
        <v/>
      </c>
      <c r="J81" s="2"/>
      <c r="K81" s="2"/>
      <c r="L81" s="2"/>
      <c r="M81" s="2"/>
    </row>
    <row r="82" spans="1:13">
      <c r="A82" s="2"/>
      <c r="B82" s="4"/>
      <c r="C82" s="4"/>
      <c r="D82" s="2"/>
      <c r="E82" s="2"/>
      <c r="F82" s="2"/>
      <c r="G82" s="2"/>
      <c r="H82" s="2"/>
      <c r="I82" s="3" t="str">
        <f t="shared" si="2"/>
        <v/>
      </c>
      <c r="J82" s="2"/>
      <c r="K82" s="2"/>
      <c r="L82" s="2"/>
      <c r="M82" s="2"/>
    </row>
    <row r="83" spans="1:13">
      <c r="A83" s="2"/>
      <c r="B83" s="4"/>
      <c r="C83" s="4"/>
      <c r="D83" s="2"/>
      <c r="E83" s="2"/>
      <c r="F83" s="2"/>
      <c r="G83" s="2"/>
      <c r="H83" s="2"/>
      <c r="I83" s="3" t="str">
        <f t="shared" si="2"/>
        <v/>
      </c>
      <c r="J83" s="2"/>
      <c r="K83" s="2"/>
      <c r="L83" s="2"/>
      <c r="M83" s="2"/>
    </row>
    <row r="84" spans="1:13">
      <c r="A84" s="2"/>
      <c r="B84" s="4"/>
      <c r="C84" s="4"/>
      <c r="D84" s="2"/>
      <c r="E84" s="2"/>
      <c r="F84" s="2"/>
      <c r="G84" s="2"/>
      <c r="H84" s="2"/>
      <c r="I84" s="3" t="str">
        <f t="shared" si="2"/>
        <v/>
      </c>
      <c r="J84" s="2"/>
      <c r="K84" s="2"/>
      <c r="L84" s="2"/>
      <c r="M84" s="2"/>
    </row>
    <row r="85" spans="1:13">
      <c r="A85" s="2"/>
      <c r="B85" s="4"/>
      <c r="C85" s="4"/>
      <c r="D85" s="2"/>
      <c r="E85" s="2"/>
      <c r="F85" s="2"/>
      <c r="G85" s="2"/>
      <c r="H85" s="2"/>
      <c r="I85" s="3" t="str">
        <f t="shared" si="2"/>
        <v/>
      </c>
      <c r="J85" s="2"/>
      <c r="K85" s="2"/>
      <c r="L85" s="2"/>
      <c r="M85" s="2"/>
    </row>
    <row r="86" spans="1:13">
      <c r="A86" s="2"/>
      <c r="B86" s="4"/>
      <c r="C86" s="4"/>
      <c r="D86" s="2"/>
      <c r="E86" s="2"/>
      <c r="F86" s="2"/>
      <c r="G86" s="2"/>
      <c r="H86" s="2"/>
      <c r="I86" s="3" t="str">
        <f t="shared" si="2"/>
        <v/>
      </c>
      <c r="J86" s="2"/>
      <c r="K86" s="2"/>
      <c r="L86" s="2"/>
      <c r="M86" s="2"/>
    </row>
    <row r="87" spans="1:13">
      <c r="A87" s="2"/>
      <c r="B87" s="4"/>
      <c r="C87" s="4"/>
      <c r="D87" s="2"/>
      <c r="E87" s="2"/>
      <c r="F87" s="2"/>
      <c r="G87" s="2"/>
      <c r="H87" s="2"/>
      <c r="I87" s="3" t="str">
        <f t="shared" si="2"/>
        <v/>
      </c>
      <c r="J87" s="2"/>
      <c r="K87" s="2"/>
      <c r="L87" s="2"/>
      <c r="M87" s="2"/>
    </row>
    <row r="88" spans="1:13">
      <c r="A88" s="2"/>
      <c r="B88" s="4"/>
      <c r="C88" s="4"/>
      <c r="D88" s="2"/>
      <c r="E88" s="2"/>
      <c r="F88" s="2"/>
      <c r="G88" s="2"/>
      <c r="H88" s="2"/>
      <c r="I88" s="3" t="str">
        <f t="shared" si="2"/>
        <v/>
      </c>
      <c r="J88" s="2"/>
      <c r="K88" s="2"/>
      <c r="L88" s="2"/>
      <c r="M88" s="2"/>
    </row>
    <row r="89" spans="1:13">
      <c r="A89" s="2"/>
      <c r="B89" s="4"/>
      <c r="C89" s="4"/>
      <c r="D89" s="2"/>
      <c r="E89" s="2"/>
      <c r="F89" s="2"/>
      <c r="G89" s="2"/>
      <c r="H89" s="2"/>
      <c r="I89" s="3" t="str">
        <f t="shared" si="2"/>
        <v/>
      </c>
      <c r="J89" s="2"/>
      <c r="K89" s="2"/>
      <c r="L89" s="2"/>
      <c r="M89" s="2"/>
    </row>
    <row r="90" spans="1:13">
      <c r="A90" s="2"/>
      <c r="B90" s="4"/>
      <c r="C90" s="4"/>
      <c r="D90" s="2"/>
      <c r="E90" s="2"/>
      <c r="F90" s="2"/>
      <c r="G90" s="2"/>
      <c r="H90" s="2"/>
      <c r="I90" s="3" t="str">
        <f t="shared" si="2"/>
        <v/>
      </c>
      <c r="J90" s="2"/>
      <c r="K90" s="2"/>
      <c r="L90" s="2"/>
      <c r="M90" s="2"/>
    </row>
    <row r="91" spans="1:13">
      <c r="A91" s="2"/>
      <c r="B91" s="4"/>
      <c r="C91" s="4"/>
      <c r="D91" s="2"/>
      <c r="E91" s="2"/>
      <c r="F91" s="2"/>
      <c r="G91" s="2"/>
      <c r="H91" s="2"/>
      <c r="I91" s="3" t="str">
        <f t="shared" si="2"/>
        <v/>
      </c>
      <c r="J91" s="2"/>
      <c r="K91" s="2"/>
      <c r="L91" s="2"/>
      <c r="M91" s="2"/>
    </row>
    <row r="92" spans="1:13">
      <c r="A92" s="2"/>
      <c r="B92" s="4"/>
      <c r="C92" s="4"/>
      <c r="D92" s="2"/>
      <c r="E92" s="2"/>
      <c r="F92" s="2"/>
      <c r="G92" s="2"/>
      <c r="H92" s="2"/>
      <c r="I92" s="3" t="str">
        <f t="shared" si="2"/>
        <v/>
      </c>
      <c r="J92" s="2"/>
      <c r="K92" s="2"/>
      <c r="L92" s="2"/>
      <c r="M92" s="2"/>
    </row>
    <row r="93" spans="1:13">
      <c r="A93" s="2"/>
      <c r="B93" s="4"/>
      <c r="C93" s="4"/>
      <c r="D93" s="2"/>
      <c r="E93" s="2"/>
      <c r="F93" s="2"/>
      <c r="G93" s="2"/>
      <c r="H93" s="2"/>
      <c r="I93" s="3" t="str">
        <f t="shared" si="2"/>
        <v/>
      </c>
      <c r="J93" s="2"/>
      <c r="K93" s="2"/>
      <c r="L93" s="2"/>
      <c r="M93" s="2"/>
    </row>
    <row r="94" spans="1:13">
      <c r="A94" s="2"/>
      <c r="B94" s="4"/>
      <c r="C94" s="4"/>
      <c r="D94" s="2"/>
      <c r="E94" s="2"/>
      <c r="F94" s="2"/>
      <c r="G94" s="2"/>
      <c r="H94" s="2"/>
      <c r="I94" s="3" t="str">
        <f t="shared" si="2"/>
        <v/>
      </c>
      <c r="J94" s="2"/>
      <c r="K94" s="2"/>
      <c r="L94" s="2"/>
      <c r="M94" s="2"/>
    </row>
    <row r="95" spans="1:13">
      <c r="A95" s="2"/>
      <c r="B95" s="4"/>
      <c r="C95" s="4"/>
      <c r="D95" s="2"/>
      <c r="E95" s="2"/>
      <c r="F95" s="2"/>
      <c r="G95" s="2"/>
      <c r="H95" s="2"/>
      <c r="I95" s="3" t="str">
        <f t="shared" si="2"/>
        <v/>
      </c>
      <c r="J95" s="2"/>
      <c r="K95" s="2"/>
      <c r="L95" s="2"/>
      <c r="M95" s="2"/>
    </row>
    <row r="96" spans="1:13">
      <c r="A96" s="2"/>
      <c r="B96" s="4"/>
      <c r="C96" s="4"/>
      <c r="D96" s="2"/>
      <c r="E96" s="2"/>
      <c r="F96" s="2"/>
      <c r="G96" s="2"/>
      <c r="H96" s="2"/>
      <c r="I96" s="3" t="str">
        <f t="shared" si="2"/>
        <v/>
      </c>
      <c r="J96" s="2"/>
      <c r="K96" s="2"/>
      <c r="L96" s="2"/>
      <c r="M96" s="2"/>
    </row>
    <row r="97" spans="1:13">
      <c r="A97" s="2"/>
      <c r="B97" s="4"/>
      <c r="C97" s="4"/>
      <c r="D97" s="2"/>
      <c r="E97" s="2"/>
      <c r="F97" s="2"/>
      <c r="G97" s="2"/>
      <c r="H97" s="2"/>
      <c r="I97" s="3" t="str">
        <f t="shared" si="2"/>
        <v/>
      </c>
      <c r="J97" s="2"/>
      <c r="K97" s="2"/>
      <c r="L97" s="2"/>
      <c r="M97" s="2"/>
    </row>
    <row r="98" spans="1:13">
      <c r="A98" s="2"/>
      <c r="B98" s="4"/>
      <c r="C98" s="4"/>
      <c r="D98" s="2"/>
      <c r="E98" s="2"/>
      <c r="F98" s="2"/>
      <c r="G98" s="2"/>
      <c r="H98" s="2"/>
      <c r="I98" s="3" t="str">
        <f t="shared" si="2"/>
        <v/>
      </c>
      <c r="J98" s="2"/>
      <c r="K98" s="2"/>
      <c r="L98" s="2"/>
      <c r="M98" s="2"/>
    </row>
    <row r="99" spans="1:13">
      <c r="A99" s="2"/>
      <c r="B99" s="4"/>
      <c r="C99" s="4"/>
      <c r="D99" s="2"/>
      <c r="E99" s="2"/>
      <c r="F99" s="2"/>
      <c r="G99" s="2"/>
      <c r="H99" s="2"/>
      <c r="I99" s="3" t="str">
        <f t="shared" si="2"/>
        <v/>
      </c>
      <c r="J99" s="2"/>
      <c r="K99" s="2"/>
      <c r="L99" s="2"/>
      <c r="M99" s="2"/>
    </row>
    <row r="100" spans="1:13">
      <c r="A100" s="2"/>
      <c r="B100" s="4"/>
      <c r="C100" s="4"/>
      <c r="D100" s="2"/>
      <c r="E100" s="2"/>
      <c r="F100" s="2"/>
      <c r="G100" s="2"/>
      <c r="H100" s="2"/>
      <c r="I100" s="3" t="str">
        <f t="shared" ref="I100:I131" si="3">IF(OR(G100="",H100=""),"",IF(G100&gt;H100,"W",IF(G100&lt;H100,"L","T")))</f>
        <v/>
      </c>
      <c r="J100" s="2"/>
      <c r="K100" s="2"/>
      <c r="L100" s="2"/>
      <c r="M100" s="2"/>
    </row>
    <row r="101" spans="1:13">
      <c r="A101" s="2"/>
      <c r="B101" s="4"/>
      <c r="C101" s="4"/>
      <c r="D101" s="2"/>
      <c r="E101" s="2"/>
      <c r="F101" s="2"/>
      <c r="G101" s="2"/>
      <c r="H101" s="2"/>
      <c r="I101" s="3" t="str">
        <f t="shared" si="3"/>
        <v/>
      </c>
      <c r="J101" s="2"/>
      <c r="K101" s="2"/>
      <c r="L101" s="2"/>
      <c r="M101" s="2"/>
    </row>
    <row r="102" spans="1:13">
      <c r="A102" s="2"/>
      <c r="B102" s="4"/>
      <c r="C102" s="4"/>
      <c r="D102" s="2"/>
      <c r="E102" s="2"/>
      <c r="F102" s="2"/>
      <c r="G102" s="2"/>
      <c r="H102" s="2"/>
      <c r="I102" s="3" t="str">
        <f t="shared" si="3"/>
        <v/>
      </c>
      <c r="J102" s="2"/>
      <c r="K102" s="2"/>
      <c r="L102" s="2"/>
      <c r="M102" s="2"/>
    </row>
    <row r="103" spans="1:13">
      <c r="A103" s="2"/>
      <c r="B103" s="4"/>
      <c r="C103" s="4"/>
      <c r="D103" s="2"/>
      <c r="E103" s="2"/>
      <c r="F103" s="2"/>
      <c r="G103" s="2"/>
      <c r="H103" s="2"/>
      <c r="I103" s="3" t="str">
        <f t="shared" si="3"/>
        <v/>
      </c>
      <c r="J103" s="2"/>
      <c r="K103" s="2"/>
      <c r="L103" s="2"/>
      <c r="M103" s="2"/>
    </row>
    <row r="104" spans="1:13">
      <c r="A104" s="2"/>
      <c r="B104" s="4"/>
      <c r="C104" s="4"/>
      <c r="D104" s="2"/>
      <c r="E104" s="2"/>
      <c r="F104" s="2"/>
      <c r="G104" s="2"/>
      <c r="H104" s="2"/>
      <c r="I104" s="3" t="str">
        <f t="shared" si="3"/>
        <v/>
      </c>
      <c r="J104" s="2"/>
      <c r="K104" s="2"/>
      <c r="L104" s="2"/>
      <c r="M104" s="2"/>
    </row>
    <row r="105" spans="1:13">
      <c r="A105" s="2"/>
      <c r="B105" s="4"/>
      <c r="C105" s="4"/>
      <c r="D105" s="2"/>
      <c r="E105" s="2"/>
      <c r="F105" s="2"/>
      <c r="G105" s="2"/>
      <c r="H105" s="2"/>
      <c r="I105" s="3" t="str">
        <f t="shared" si="3"/>
        <v/>
      </c>
      <c r="J105" s="2"/>
      <c r="K105" s="2"/>
      <c r="L105" s="2"/>
      <c r="M105" s="2"/>
    </row>
    <row r="106" spans="1:13">
      <c r="A106" s="2"/>
      <c r="B106" s="4"/>
      <c r="C106" s="4"/>
      <c r="D106" s="2"/>
      <c r="E106" s="2"/>
      <c r="F106" s="2"/>
      <c r="G106" s="2"/>
      <c r="H106" s="2"/>
      <c r="I106" s="3" t="str">
        <f t="shared" si="3"/>
        <v/>
      </c>
      <c r="J106" s="2"/>
      <c r="K106" s="2"/>
      <c r="L106" s="2"/>
      <c r="M106" s="2"/>
    </row>
    <row r="107" spans="1:13">
      <c r="A107" s="2"/>
      <c r="B107" s="4"/>
      <c r="C107" s="4"/>
      <c r="D107" s="2"/>
      <c r="E107" s="2"/>
      <c r="F107" s="2"/>
      <c r="G107" s="2"/>
      <c r="H107" s="2"/>
      <c r="I107" s="3" t="str">
        <f t="shared" si="3"/>
        <v/>
      </c>
      <c r="J107" s="2"/>
      <c r="K107" s="2"/>
      <c r="L107" s="2"/>
      <c r="M107" s="2"/>
    </row>
    <row r="108" spans="1:13">
      <c r="A108" s="2"/>
      <c r="B108" s="4"/>
      <c r="C108" s="4"/>
      <c r="D108" s="2"/>
      <c r="E108" s="2"/>
      <c r="F108" s="2"/>
      <c r="G108" s="2"/>
      <c r="H108" s="2"/>
      <c r="I108" s="3" t="str">
        <f t="shared" si="3"/>
        <v/>
      </c>
      <c r="J108" s="2"/>
      <c r="K108" s="2"/>
      <c r="L108" s="2"/>
      <c r="M108" s="2"/>
    </row>
    <row r="109" spans="1:13">
      <c r="A109" s="2"/>
      <c r="B109" s="4"/>
      <c r="C109" s="4"/>
      <c r="D109" s="2"/>
      <c r="E109" s="2"/>
      <c r="F109" s="2"/>
      <c r="G109" s="2"/>
      <c r="H109" s="2"/>
      <c r="I109" s="3" t="str">
        <f t="shared" si="3"/>
        <v/>
      </c>
      <c r="J109" s="2"/>
      <c r="K109" s="2"/>
      <c r="L109" s="2"/>
      <c r="M109" s="2"/>
    </row>
    <row r="110" spans="1:13">
      <c r="A110" s="2"/>
      <c r="B110" s="4"/>
      <c r="C110" s="4"/>
      <c r="D110" s="2"/>
      <c r="E110" s="2"/>
      <c r="F110" s="2"/>
      <c r="G110" s="2"/>
      <c r="H110" s="2"/>
      <c r="I110" s="3" t="str">
        <f t="shared" si="3"/>
        <v/>
      </c>
      <c r="J110" s="2"/>
      <c r="K110" s="2"/>
      <c r="L110" s="2"/>
      <c r="M110" s="2"/>
    </row>
    <row r="111" spans="1:13">
      <c r="A111" s="2"/>
      <c r="B111" s="4"/>
      <c r="C111" s="4"/>
      <c r="D111" s="2"/>
      <c r="E111" s="2"/>
      <c r="F111" s="2"/>
      <c r="G111" s="2"/>
      <c r="H111" s="2"/>
      <c r="I111" s="3" t="str">
        <f t="shared" si="3"/>
        <v/>
      </c>
      <c r="J111" s="2"/>
      <c r="K111" s="2"/>
      <c r="L111" s="2"/>
      <c r="M111" s="2"/>
    </row>
    <row r="112" spans="1:13">
      <c r="A112" s="2"/>
      <c r="B112" s="4"/>
      <c r="C112" s="4"/>
      <c r="D112" s="2"/>
      <c r="E112" s="2"/>
      <c r="F112" s="2"/>
      <c r="G112" s="2"/>
      <c r="H112" s="2"/>
      <c r="I112" s="3" t="str">
        <f t="shared" si="3"/>
        <v/>
      </c>
      <c r="J112" s="2"/>
      <c r="K112" s="2"/>
      <c r="L112" s="2"/>
      <c r="M112" s="2"/>
    </row>
    <row r="113" spans="1:13">
      <c r="A113" s="2"/>
      <c r="B113" s="4"/>
      <c r="C113" s="4"/>
      <c r="D113" s="2"/>
      <c r="E113" s="2"/>
      <c r="F113" s="2"/>
      <c r="G113" s="2"/>
      <c r="H113" s="2"/>
      <c r="I113" s="3" t="str">
        <f t="shared" si="3"/>
        <v/>
      </c>
      <c r="J113" s="2"/>
      <c r="K113" s="2"/>
      <c r="L113" s="2"/>
      <c r="M113" s="2"/>
    </row>
    <row r="114" spans="1:13">
      <c r="A114" s="2"/>
      <c r="B114" s="4"/>
      <c r="C114" s="4"/>
      <c r="D114" s="2"/>
      <c r="E114" s="2"/>
      <c r="F114" s="2"/>
      <c r="G114" s="2"/>
      <c r="H114" s="2"/>
      <c r="I114" s="3" t="str">
        <f t="shared" si="3"/>
        <v/>
      </c>
      <c r="J114" s="2"/>
      <c r="K114" s="2"/>
      <c r="L114" s="2"/>
      <c r="M114" s="2"/>
    </row>
    <row r="115" spans="1:13">
      <c r="A115" s="2"/>
      <c r="B115" s="4"/>
      <c r="C115" s="4"/>
      <c r="D115" s="2"/>
      <c r="E115" s="2"/>
      <c r="F115" s="2"/>
      <c r="G115" s="2"/>
      <c r="H115" s="2"/>
      <c r="I115" s="3" t="str">
        <f t="shared" si="3"/>
        <v/>
      </c>
      <c r="J115" s="2"/>
      <c r="K115" s="2"/>
      <c r="L115" s="2"/>
      <c r="M115" s="2"/>
    </row>
    <row r="116" spans="1:13">
      <c r="A116" s="2"/>
      <c r="B116" s="4"/>
      <c r="C116" s="4"/>
      <c r="D116" s="2"/>
      <c r="E116" s="2"/>
      <c r="F116" s="2"/>
      <c r="G116" s="2"/>
      <c r="H116" s="2"/>
      <c r="I116" s="3" t="str">
        <f t="shared" si="3"/>
        <v/>
      </c>
      <c r="J116" s="2"/>
      <c r="K116" s="2"/>
      <c r="L116" s="2"/>
      <c r="M116" s="2"/>
    </row>
    <row r="117" spans="1:13">
      <c r="A117" s="2"/>
      <c r="B117" s="4"/>
      <c r="C117" s="4"/>
      <c r="D117" s="2"/>
      <c r="E117" s="2"/>
      <c r="F117" s="2"/>
      <c r="G117" s="2"/>
      <c r="H117" s="2"/>
      <c r="I117" s="3" t="str">
        <f t="shared" si="3"/>
        <v/>
      </c>
      <c r="J117" s="2"/>
      <c r="K117" s="2"/>
      <c r="L117" s="2"/>
      <c r="M117" s="2"/>
    </row>
    <row r="118" spans="1:13">
      <c r="A118" s="2"/>
      <c r="B118" s="4"/>
      <c r="C118" s="4"/>
      <c r="D118" s="2"/>
      <c r="E118" s="2"/>
      <c r="F118" s="2"/>
      <c r="G118" s="2"/>
      <c r="H118" s="2"/>
      <c r="I118" s="3" t="str">
        <f t="shared" si="3"/>
        <v/>
      </c>
      <c r="J118" s="2"/>
      <c r="K118" s="2"/>
      <c r="L118" s="2"/>
      <c r="M118" s="2"/>
    </row>
    <row r="119" spans="1:13">
      <c r="A119" s="2"/>
      <c r="B119" s="4"/>
      <c r="C119" s="4"/>
      <c r="D119" s="2"/>
      <c r="E119" s="2"/>
      <c r="F119" s="2"/>
      <c r="G119" s="2"/>
      <c r="H119" s="2"/>
      <c r="I119" s="3" t="str">
        <f t="shared" si="3"/>
        <v/>
      </c>
      <c r="J119" s="2"/>
      <c r="K119" s="2"/>
      <c r="L119" s="2"/>
      <c r="M119" s="2"/>
    </row>
    <row r="120" spans="1:13">
      <c r="A120" s="2"/>
      <c r="B120" s="4"/>
      <c r="C120" s="4"/>
      <c r="D120" s="2"/>
      <c r="E120" s="2"/>
      <c r="F120" s="2"/>
      <c r="G120" s="2"/>
      <c r="H120" s="2"/>
      <c r="I120" s="3" t="str">
        <f t="shared" si="3"/>
        <v/>
      </c>
      <c r="J120" s="2"/>
      <c r="K120" s="2"/>
      <c r="L120" s="2"/>
      <c r="M120" s="2"/>
    </row>
    <row r="121" spans="1:13">
      <c r="A121" s="2"/>
      <c r="B121" s="4"/>
      <c r="C121" s="4"/>
      <c r="D121" s="2"/>
      <c r="E121" s="2"/>
      <c r="F121" s="2"/>
      <c r="G121" s="2"/>
      <c r="H121" s="2"/>
      <c r="I121" s="3" t="str">
        <f t="shared" si="3"/>
        <v/>
      </c>
      <c r="J121" s="2"/>
      <c r="K121" s="2"/>
      <c r="L121" s="2"/>
      <c r="M121" s="2"/>
    </row>
    <row r="122" spans="1:13">
      <c r="A122" s="2"/>
      <c r="B122" s="4"/>
      <c r="C122" s="4"/>
      <c r="D122" s="2"/>
      <c r="E122" s="2"/>
      <c r="F122" s="2"/>
      <c r="G122" s="2"/>
      <c r="H122" s="2"/>
      <c r="I122" s="3" t="str">
        <f t="shared" si="3"/>
        <v/>
      </c>
      <c r="J122" s="2"/>
      <c r="K122" s="2"/>
      <c r="L122" s="2"/>
      <c r="M122" s="2"/>
    </row>
    <row r="123" spans="1:13">
      <c r="A123" s="2"/>
      <c r="B123" s="4"/>
      <c r="C123" s="4"/>
      <c r="D123" s="2"/>
      <c r="E123" s="2"/>
      <c r="F123" s="2"/>
      <c r="G123" s="2"/>
      <c r="H123" s="2"/>
      <c r="I123" s="3" t="str">
        <f t="shared" si="3"/>
        <v/>
      </c>
      <c r="J123" s="2"/>
      <c r="K123" s="2"/>
      <c r="L123" s="2"/>
      <c r="M123" s="2"/>
    </row>
    <row r="124" spans="1:13">
      <c r="A124" s="2"/>
      <c r="B124" s="4"/>
      <c r="C124" s="4"/>
      <c r="D124" s="2"/>
      <c r="E124" s="2"/>
      <c r="F124" s="2"/>
      <c r="G124" s="2"/>
      <c r="H124" s="2"/>
      <c r="I124" s="3" t="str">
        <f t="shared" si="3"/>
        <v/>
      </c>
      <c r="J124" s="2"/>
      <c r="K124" s="2"/>
      <c r="L124" s="2"/>
      <c r="M124" s="2"/>
    </row>
    <row r="125" spans="1:13">
      <c r="A125" s="2"/>
      <c r="B125" s="4"/>
      <c r="C125" s="4"/>
      <c r="D125" s="2"/>
      <c r="E125" s="2"/>
      <c r="F125" s="2"/>
      <c r="G125" s="2"/>
      <c r="H125" s="2"/>
      <c r="I125" s="3" t="str">
        <f t="shared" si="3"/>
        <v/>
      </c>
      <c r="J125" s="2"/>
      <c r="K125" s="2"/>
      <c r="L125" s="2"/>
      <c r="M125" s="2"/>
    </row>
    <row r="126" spans="1:13">
      <c r="A126" s="2"/>
      <c r="B126" s="4"/>
      <c r="C126" s="4"/>
      <c r="D126" s="2"/>
      <c r="E126" s="2"/>
      <c r="F126" s="2"/>
      <c r="G126" s="2"/>
      <c r="H126" s="2"/>
      <c r="I126" s="3" t="str">
        <f t="shared" si="3"/>
        <v/>
      </c>
      <c r="J126" s="2"/>
      <c r="K126" s="2"/>
      <c r="L126" s="2"/>
      <c r="M126" s="2"/>
    </row>
    <row r="127" spans="1:13">
      <c r="A127" s="2"/>
      <c r="B127" s="4"/>
      <c r="C127" s="4"/>
      <c r="D127" s="2"/>
      <c r="E127" s="2"/>
      <c r="F127" s="2"/>
      <c r="G127" s="2"/>
      <c r="H127" s="2"/>
      <c r="I127" s="3" t="str">
        <f t="shared" si="3"/>
        <v/>
      </c>
      <c r="J127" s="2"/>
      <c r="K127" s="2"/>
      <c r="L127" s="2"/>
      <c r="M127" s="2"/>
    </row>
    <row r="128" spans="1:13">
      <c r="A128" s="2"/>
      <c r="B128" s="4"/>
      <c r="C128" s="4"/>
      <c r="D128" s="2"/>
      <c r="E128" s="2"/>
      <c r="F128" s="2"/>
      <c r="G128" s="2"/>
      <c r="H128" s="2"/>
      <c r="I128" s="3" t="str">
        <f t="shared" si="3"/>
        <v/>
      </c>
      <c r="J128" s="2"/>
      <c r="K128" s="2"/>
      <c r="L128" s="2"/>
      <c r="M128" s="2"/>
    </row>
    <row r="129" spans="1:13">
      <c r="A129" s="2"/>
      <c r="B129" s="4"/>
      <c r="C129" s="4"/>
      <c r="D129" s="2"/>
      <c r="E129" s="2"/>
      <c r="F129" s="2"/>
      <c r="G129" s="2"/>
      <c r="H129" s="2"/>
      <c r="I129" s="3" t="str">
        <f t="shared" si="3"/>
        <v/>
      </c>
      <c r="J129" s="2"/>
      <c r="K129" s="2"/>
      <c r="L129" s="2"/>
      <c r="M129" s="2"/>
    </row>
    <row r="130" spans="1:13">
      <c r="A130" s="2"/>
      <c r="B130" s="4"/>
      <c r="C130" s="4"/>
      <c r="D130" s="2"/>
      <c r="E130" s="2"/>
      <c r="F130" s="2"/>
      <c r="G130" s="2"/>
      <c r="H130" s="2"/>
      <c r="I130" s="3" t="str">
        <f t="shared" si="3"/>
        <v/>
      </c>
      <c r="J130" s="2"/>
      <c r="K130" s="2"/>
      <c r="L130" s="2"/>
      <c r="M130" s="2"/>
    </row>
    <row r="131" spans="1:13">
      <c r="A131" s="2"/>
      <c r="B131" s="4"/>
      <c r="C131" s="4"/>
      <c r="D131" s="2"/>
      <c r="E131" s="2"/>
      <c r="F131" s="2"/>
      <c r="G131" s="2"/>
      <c r="H131" s="2"/>
      <c r="I131" s="3" t="str">
        <f t="shared" si="3"/>
        <v/>
      </c>
      <c r="J131" s="2"/>
      <c r="K131" s="2"/>
      <c r="L131" s="2"/>
      <c r="M131" s="2"/>
    </row>
    <row r="132" spans="1:13">
      <c r="A132" s="2"/>
      <c r="B132" s="4"/>
      <c r="C132" s="4"/>
      <c r="D132" s="2"/>
      <c r="E132" s="2"/>
      <c r="F132" s="2"/>
      <c r="G132" s="2"/>
      <c r="H132" s="2"/>
      <c r="I132" s="3" t="str">
        <f t="shared" ref="I132:I163" si="4">IF(OR(G132="",H132=""),"",IF(G132&gt;H132,"W",IF(G132&lt;H132,"L","T")))</f>
        <v/>
      </c>
      <c r="J132" s="2"/>
      <c r="K132" s="2"/>
      <c r="L132" s="2"/>
      <c r="M132" s="2"/>
    </row>
    <row r="133" spans="1:13">
      <c r="A133" s="2"/>
      <c r="B133" s="4"/>
      <c r="C133" s="4"/>
      <c r="D133" s="2"/>
      <c r="E133" s="2"/>
      <c r="F133" s="2"/>
      <c r="G133" s="2"/>
      <c r="H133" s="2"/>
      <c r="I133" s="3" t="str">
        <f t="shared" si="4"/>
        <v/>
      </c>
      <c r="J133" s="2"/>
      <c r="K133" s="2"/>
      <c r="L133" s="2"/>
      <c r="M133" s="2"/>
    </row>
    <row r="134" spans="1:13">
      <c r="A134" s="2"/>
      <c r="B134" s="4"/>
      <c r="C134" s="4"/>
      <c r="D134" s="2"/>
      <c r="E134" s="2"/>
      <c r="F134" s="2"/>
      <c r="G134" s="2"/>
      <c r="H134" s="2"/>
      <c r="I134" s="3" t="str">
        <f t="shared" si="4"/>
        <v/>
      </c>
      <c r="J134" s="2"/>
      <c r="K134" s="2"/>
      <c r="L134" s="2"/>
      <c r="M134" s="2"/>
    </row>
    <row r="135" spans="1:13">
      <c r="A135" s="2"/>
      <c r="B135" s="4"/>
      <c r="C135" s="4"/>
      <c r="D135" s="2"/>
      <c r="E135" s="2"/>
      <c r="F135" s="2"/>
      <c r="G135" s="2"/>
      <c r="H135" s="2"/>
      <c r="I135" s="3" t="str">
        <f t="shared" si="4"/>
        <v/>
      </c>
      <c r="J135" s="2"/>
      <c r="K135" s="2"/>
      <c r="L135" s="2"/>
      <c r="M135" s="2"/>
    </row>
    <row r="136" spans="1:13">
      <c r="A136" s="2"/>
      <c r="B136" s="4"/>
      <c r="C136" s="4"/>
      <c r="D136" s="2"/>
      <c r="E136" s="2"/>
      <c r="F136" s="2"/>
      <c r="G136" s="2"/>
      <c r="H136" s="2"/>
      <c r="I136" s="3" t="str">
        <f t="shared" si="4"/>
        <v/>
      </c>
      <c r="J136" s="2"/>
      <c r="K136" s="2"/>
      <c r="L136" s="2"/>
      <c r="M136" s="2"/>
    </row>
    <row r="137" spans="1:13">
      <c r="A137" s="2"/>
      <c r="B137" s="4"/>
      <c r="C137" s="4"/>
      <c r="D137" s="2"/>
      <c r="E137" s="2"/>
      <c r="F137" s="2"/>
      <c r="G137" s="2"/>
      <c r="H137" s="2"/>
      <c r="I137" s="3" t="str">
        <f t="shared" si="4"/>
        <v/>
      </c>
      <c r="J137" s="2"/>
      <c r="K137" s="2"/>
      <c r="L137" s="2"/>
      <c r="M137" s="2"/>
    </row>
    <row r="138" spans="1:13">
      <c r="A138" s="2"/>
      <c r="B138" s="4"/>
      <c r="C138" s="4"/>
      <c r="D138" s="2"/>
      <c r="E138" s="2"/>
      <c r="F138" s="2"/>
      <c r="G138" s="2"/>
      <c r="H138" s="2"/>
      <c r="I138" s="3" t="str">
        <f t="shared" si="4"/>
        <v/>
      </c>
      <c r="J138" s="2"/>
      <c r="K138" s="2"/>
      <c r="L138" s="2"/>
      <c r="M138" s="2"/>
    </row>
    <row r="139" spans="1:13">
      <c r="A139" s="2"/>
      <c r="B139" s="4"/>
      <c r="C139" s="4"/>
      <c r="D139" s="2"/>
      <c r="E139" s="2"/>
      <c r="F139" s="2"/>
      <c r="G139" s="2"/>
      <c r="H139" s="2"/>
      <c r="I139" s="3" t="str">
        <f t="shared" si="4"/>
        <v/>
      </c>
      <c r="J139" s="2"/>
      <c r="K139" s="2"/>
      <c r="L139" s="2"/>
      <c r="M139" s="2"/>
    </row>
    <row r="140" spans="1:13">
      <c r="A140" s="2"/>
      <c r="B140" s="4"/>
      <c r="C140" s="4"/>
      <c r="D140" s="2"/>
      <c r="E140" s="2"/>
      <c r="F140" s="2"/>
      <c r="G140" s="2"/>
      <c r="H140" s="2"/>
      <c r="I140" s="3" t="str">
        <f t="shared" si="4"/>
        <v/>
      </c>
      <c r="J140" s="2"/>
      <c r="K140" s="2"/>
      <c r="L140" s="2"/>
      <c r="M140" s="2"/>
    </row>
    <row r="141" spans="1:13">
      <c r="A141" s="2"/>
      <c r="B141" s="4"/>
      <c r="C141" s="4"/>
      <c r="D141" s="2"/>
      <c r="E141" s="2"/>
      <c r="F141" s="2"/>
      <c r="G141" s="2"/>
      <c r="H141" s="2"/>
      <c r="I141" s="3" t="str">
        <f t="shared" si="4"/>
        <v/>
      </c>
      <c r="J141" s="2"/>
      <c r="K141" s="2"/>
      <c r="L141" s="2"/>
      <c r="M141" s="2"/>
    </row>
    <row r="142" spans="1:13">
      <c r="A142" s="2"/>
      <c r="B142" s="4"/>
      <c r="C142" s="4"/>
      <c r="D142" s="2"/>
      <c r="E142" s="2"/>
      <c r="F142" s="2"/>
      <c r="G142" s="2"/>
      <c r="H142" s="2"/>
      <c r="I142" s="3" t="str">
        <f t="shared" si="4"/>
        <v/>
      </c>
      <c r="J142" s="2"/>
      <c r="K142" s="2"/>
      <c r="L142" s="2"/>
      <c r="M142" s="2"/>
    </row>
    <row r="143" spans="1:13">
      <c r="A143" s="2"/>
      <c r="B143" s="4"/>
      <c r="C143" s="4"/>
      <c r="D143" s="2"/>
      <c r="E143" s="2"/>
      <c r="F143" s="2"/>
      <c r="G143" s="2"/>
      <c r="H143" s="2"/>
      <c r="I143" s="3" t="str">
        <f t="shared" si="4"/>
        <v/>
      </c>
      <c r="J143" s="2"/>
      <c r="K143" s="2"/>
      <c r="L143" s="2"/>
      <c r="M143" s="2"/>
    </row>
    <row r="144" spans="1:13">
      <c r="A144" s="2"/>
      <c r="B144" s="4"/>
      <c r="C144" s="4"/>
      <c r="D144" s="2"/>
      <c r="E144" s="2"/>
      <c r="F144" s="2"/>
      <c r="G144" s="2"/>
      <c r="H144" s="2"/>
      <c r="I144" s="3" t="str">
        <f t="shared" si="4"/>
        <v/>
      </c>
      <c r="J144" s="2"/>
      <c r="K144" s="2"/>
      <c r="L144" s="2"/>
      <c r="M144" s="2"/>
    </row>
    <row r="145" spans="1:13">
      <c r="A145" s="2"/>
      <c r="B145" s="4"/>
      <c r="C145" s="4"/>
      <c r="D145" s="2"/>
      <c r="E145" s="2"/>
      <c r="F145" s="2"/>
      <c r="G145" s="2"/>
      <c r="H145" s="2"/>
      <c r="I145" s="3" t="str">
        <f t="shared" si="4"/>
        <v/>
      </c>
      <c r="J145" s="2"/>
      <c r="K145" s="2"/>
      <c r="L145" s="2"/>
      <c r="M145" s="2"/>
    </row>
    <row r="146" spans="1:13">
      <c r="A146" s="2"/>
      <c r="B146" s="4"/>
      <c r="C146" s="4"/>
      <c r="D146" s="2"/>
      <c r="E146" s="2"/>
      <c r="F146" s="2"/>
      <c r="G146" s="2"/>
      <c r="H146" s="2"/>
      <c r="I146" s="3" t="str">
        <f t="shared" si="4"/>
        <v/>
      </c>
      <c r="J146" s="2"/>
      <c r="K146" s="2"/>
      <c r="L146" s="2"/>
      <c r="M146" s="2"/>
    </row>
    <row r="147" spans="1:13">
      <c r="A147" s="2"/>
      <c r="B147" s="4"/>
      <c r="C147" s="4"/>
      <c r="D147" s="2"/>
      <c r="E147" s="2"/>
      <c r="F147" s="2"/>
      <c r="G147" s="2"/>
      <c r="H147" s="2"/>
      <c r="I147" s="3" t="str">
        <f t="shared" si="4"/>
        <v/>
      </c>
      <c r="J147" s="2"/>
      <c r="K147" s="2"/>
      <c r="L147" s="2"/>
      <c r="M147" s="2"/>
    </row>
    <row r="148" spans="1:13">
      <c r="A148" s="2"/>
      <c r="B148" s="4"/>
      <c r="C148" s="4"/>
      <c r="D148" s="2"/>
      <c r="E148" s="2"/>
      <c r="F148" s="2"/>
      <c r="G148" s="2"/>
      <c r="H148" s="2"/>
      <c r="I148" s="3" t="str">
        <f t="shared" si="4"/>
        <v/>
      </c>
      <c r="J148" s="2"/>
      <c r="K148" s="2"/>
      <c r="L148" s="2"/>
      <c r="M148" s="2"/>
    </row>
    <row r="149" spans="1:13">
      <c r="A149" s="2"/>
      <c r="B149" s="4"/>
      <c r="C149" s="4"/>
      <c r="D149" s="2"/>
      <c r="E149" s="2"/>
      <c r="F149" s="2"/>
      <c r="G149" s="2"/>
      <c r="H149" s="2"/>
      <c r="I149" s="3" t="str">
        <f t="shared" si="4"/>
        <v/>
      </c>
      <c r="J149" s="2"/>
      <c r="K149" s="2"/>
      <c r="L149" s="2"/>
      <c r="M149" s="2"/>
    </row>
    <row r="150" spans="1:13">
      <c r="A150" s="2"/>
      <c r="B150" s="4"/>
      <c r="C150" s="4"/>
      <c r="D150" s="2"/>
      <c r="E150" s="2"/>
      <c r="F150" s="2"/>
      <c r="G150" s="2"/>
      <c r="H150" s="2"/>
      <c r="I150" s="3" t="str">
        <f t="shared" si="4"/>
        <v/>
      </c>
      <c r="J150" s="2"/>
      <c r="K150" s="2"/>
      <c r="L150" s="2"/>
      <c r="M150" s="2"/>
    </row>
    <row r="151" spans="1:13">
      <c r="A151" s="2"/>
      <c r="B151" s="4"/>
      <c r="C151" s="4"/>
      <c r="D151" s="2"/>
      <c r="E151" s="2"/>
      <c r="F151" s="2"/>
      <c r="G151" s="2"/>
      <c r="H151" s="2"/>
      <c r="I151" s="3" t="str">
        <f t="shared" si="4"/>
        <v/>
      </c>
      <c r="J151" s="2"/>
      <c r="K151" s="2"/>
      <c r="L151" s="2"/>
      <c r="M151" s="2"/>
    </row>
    <row r="152" spans="1:13">
      <c r="A152" s="2"/>
      <c r="B152" s="4"/>
      <c r="C152" s="4"/>
      <c r="D152" s="2"/>
      <c r="E152" s="2"/>
      <c r="F152" s="2"/>
      <c r="G152" s="2"/>
      <c r="H152" s="2"/>
      <c r="I152" s="3" t="str">
        <f t="shared" si="4"/>
        <v/>
      </c>
      <c r="J152" s="2"/>
      <c r="K152" s="2"/>
      <c r="L152" s="2"/>
      <c r="M152" s="2"/>
    </row>
    <row r="153" spans="1:13">
      <c r="A153" s="2"/>
      <c r="B153" s="4"/>
      <c r="C153" s="4"/>
      <c r="D153" s="2"/>
      <c r="E153" s="2"/>
      <c r="F153" s="2"/>
      <c r="G153" s="2"/>
      <c r="H153" s="2"/>
      <c r="I153" s="3" t="str">
        <f t="shared" si="4"/>
        <v/>
      </c>
      <c r="J153" s="2"/>
      <c r="K153" s="2"/>
      <c r="L153" s="2"/>
      <c r="M153" s="2"/>
    </row>
    <row r="154" spans="1:13">
      <c r="A154" s="2"/>
      <c r="B154" s="4"/>
      <c r="C154" s="4"/>
      <c r="D154" s="2"/>
      <c r="E154" s="2"/>
      <c r="F154" s="2"/>
      <c r="G154" s="2"/>
      <c r="H154" s="2"/>
      <c r="I154" s="3" t="str">
        <f t="shared" si="4"/>
        <v/>
      </c>
      <c r="J154" s="2"/>
      <c r="K154" s="2"/>
      <c r="L154" s="2"/>
      <c r="M154" s="2"/>
    </row>
    <row r="155" spans="1:13">
      <c r="A155" s="2"/>
      <c r="B155" s="4"/>
      <c r="C155" s="4"/>
      <c r="D155" s="2"/>
      <c r="E155" s="2"/>
      <c r="F155" s="2"/>
      <c r="G155" s="2"/>
      <c r="H155" s="2"/>
      <c r="I155" s="3" t="str">
        <f t="shared" si="4"/>
        <v/>
      </c>
      <c r="J155" s="2"/>
      <c r="K155" s="2"/>
      <c r="L155" s="2"/>
      <c r="M155" s="2"/>
    </row>
    <row r="156" spans="1:13">
      <c r="A156" s="2"/>
      <c r="B156" s="4"/>
      <c r="C156" s="4"/>
      <c r="D156" s="2"/>
      <c r="E156" s="2"/>
      <c r="F156" s="2"/>
      <c r="G156" s="2"/>
      <c r="H156" s="2"/>
      <c r="I156" s="3" t="str">
        <f t="shared" si="4"/>
        <v/>
      </c>
      <c r="J156" s="2"/>
      <c r="K156" s="2"/>
      <c r="L156" s="2"/>
      <c r="M156" s="2"/>
    </row>
    <row r="157" spans="1:13">
      <c r="A157" s="2"/>
      <c r="B157" s="4"/>
      <c r="C157" s="4"/>
      <c r="D157" s="2"/>
      <c r="E157" s="2"/>
      <c r="F157" s="2"/>
      <c r="G157" s="2"/>
      <c r="H157" s="2"/>
      <c r="I157" s="3" t="str">
        <f t="shared" si="4"/>
        <v/>
      </c>
      <c r="J157" s="2"/>
      <c r="K157" s="2"/>
      <c r="L157" s="2"/>
      <c r="M157" s="2"/>
    </row>
    <row r="158" spans="1:13">
      <c r="A158" s="2"/>
      <c r="B158" s="4"/>
      <c r="C158" s="4"/>
      <c r="D158" s="2"/>
      <c r="E158" s="2"/>
      <c r="F158" s="2"/>
      <c r="G158" s="2"/>
      <c r="H158" s="2"/>
      <c r="I158" s="3" t="str">
        <f t="shared" si="4"/>
        <v/>
      </c>
      <c r="J158" s="2"/>
      <c r="K158" s="2"/>
      <c r="L158" s="2"/>
      <c r="M158" s="2"/>
    </row>
    <row r="159" spans="1:13">
      <c r="A159" s="2"/>
      <c r="B159" s="4"/>
      <c r="C159" s="4"/>
      <c r="D159" s="2"/>
      <c r="E159" s="2"/>
      <c r="F159" s="2"/>
      <c r="G159" s="2"/>
      <c r="H159" s="2"/>
      <c r="I159" s="3" t="str">
        <f t="shared" si="4"/>
        <v/>
      </c>
      <c r="J159" s="2"/>
      <c r="K159" s="2"/>
      <c r="L159" s="2"/>
      <c r="M159" s="2"/>
    </row>
    <row r="160" spans="1:13">
      <c r="A160" s="2"/>
      <c r="B160" s="4"/>
      <c r="C160" s="4"/>
      <c r="D160" s="2"/>
      <c r="E160" s="2"/>
      <c r="F160" s="2"/>
      <c r="G160" s="2"/>
      <c r="H160" s="2"/>
      <c r="I160" s="3" t="str">
        <f t="shared" si="4"/>
        <v/>
      </c>
      <c r="J160" s="2"/>
      <c r="K160" s="2"/>
      <c r="L160" s="2"/>
      <c r="M160" s="2"/>
    </row>
    <row r="161" spans="1:13">
      <c r="A161" s="2"/>
      <c r="B161" s="4"/>
      <c r="C161" s="4"/>
      <c r="D161" s="2"/>
      <c r="E161" s="2"/>
      <c r="F161" s="2"/>
      <c r="G161" s="2"/>
      <c r="H161" s="2"/>
      <c r="I161" s="3" t="str">
        <f t="shared" si="4"/>
        <v/>
      </c>
      <c r="J161" s="2"/>
      <c r="K161" s="2"/>
      <c r="L161" s="2"/>
      <c r="M161" s="2"/>
    </row>
    <row r="162" spans="1:13">
      <c r="A162" s="2"/>
      <c r="B162" s="4"/>
      <c r="C162" s="4"/>
      <c r="D162" s="2"/>
      <c r="E162" s="2"/>
      <c r="F162" s="2"/>
      <c r="G162" s="2"/>
      <c r="H162" s="2"/>
      <c r="I162" s="3" t="str">
        <f t="shared" si="4"/>
        <v/>
      </c>
      <c r="J162" s="2"/>
      <c r="K162" s="2"/>
      <c r="L162" s="2"/>
      <c r="M162" s="2"/>
    </row>
    <row r="163" spans="1:13">
      <c r="A163" s="2"/>
      <c r="B163" s="4"/>
      <c r="C163" s="4"/>
      <c r="D163" s="2"/>
      <c r="E163" s="2"/>
      <c r="F163" s="2"/>
      <c r="G163" s="2"/>
      <c r="H163" s="2"/>
      <c r="I163" s="3" t="str">
        <f t="shared" si="4"/>
        <v/>
      </c>
      <c r="J163" s="2"/>
      <c r="K163" s="2"/>
      <c r="L163" s="2"/>
      <c r="M163" s="2"/>
    </row>
    <row r="164" spans="1:13">
      <c r="A164" s="2"/>
      <c r="B164" s="4"/>
      <c r="C164" s="4"/>
      <c r="D164" s="2"/>
      <c r="E164" s="2"/>
      <c r="F164" s="2"/>
      <c r="G164" s="2"/>
      <c r="H164" s="2"/>
      <c r="I164" s="3" t="str">
        <f t="shared" ref="I164:I195" si="5">IF(OR(G164="",H164=""),"",IF(G164&gt;H164,"W",IF(G164&lt;H164,"L","T")))</f>
        <v/>
      </c>
      <c r="J164" s="2"/>
      <c r="K164" s="2"/>
      <c r="L164" s="2"/>
      <c r="M164" s="2"/>
    </row>
    <row r="165" spans="1:13">
      <c r="A165" s="2"/>
      <c r="B165" s="4"/>
      <c r="C165" s="4"/>
      <c r="D165" s="2"/>
      <c r="E165" s="2"/>
      <c r="F165" s="2"/>
      <c r="G165" s="2"/>
      <c r="H165" s="2"/>
      <c r="I165" s="3" t="str">
        <f t="shared" si="5"/>
        <v/>
      </c>
      <c r="J165" s="2"/>
      <c r="K165" s="2"/>
      <c r="L165" s="2"/>
      <c r="M165" s="2"/>
    </row>
    <row r="166" spans="1:13">
      <c r="A166" s="2"/>
      <c r="B166" s="4"/>
      <c r="C166" s="4"/>
      <c r="D166" s="2"/>
      <c r="E166" s="2"/>
      <c r="F166" s="2"/>
      <c r="G166" s="2"/>
      <c r="H166" s="2"/>
      <c r="I166" s="3" t="str">
        <f t="shared" si="5"/>
        <v/>
      </c>
      <c r="J166" s="2"/>
      <c r="K166" s="2"/>
      <c r="L166" s="2"/>
      <c r="M166" s="2"/>
    </row>
    <row r="167" spans="1:13">
      <c r="A167" s="2"/>
      <c r="B167" s="4"/>
      <c r="C167" s="4"/>
      <c r="D167" s="2"/>
      <c r="E167" s="2"/>
      <c r="F167" s="2"/>
      <c r="G167" s="2"/>
      <c r="H167" s="2"/>
      <c r="I167" s="3" t="str">
        <f t="shared" si="5"/>
        <v/>
      </c>
      <c r="J167" s="2"/>
      <c r="K167" s="2"/>
      <c r="L167" s="2"/>
      <c r="M167" s="2"/>
    </row>
    <row r="168" spans="1:13">
      <c r="A168" s="2"/>
      <c r="B168" s="4"/>
      <c r="C168" s="4"/>
      <c r="D168" s="2"/>
      <c r="E168" s="2"/>
      <c r="F168" s="2"/>
      <c r="G168" s="2"/>
      <c r="H168" s="2"/>
      <c r="I168" s="3" t="str">
        <f t="shared" si="5"/>
        <v/>
      </c>
      <c r="J168" s="2"/>
      <c r="K168" s="2"/>
      <c r="L168" s="2"/>
      <c r="M168" s="2"/>
    </row>
    <row r="169" spans="1:13">
      <c r="A169" s="2"/>
      <c r="B169" s="4"/>
      <c r="C169" s="4"/>
      <c r="D169" s="2"/>
      <c r="E169" s="2"/>
      <c r="F169" s="2"/>
      <c r="G169" s="2"/>
      <c r="H169" s="2"/>
      <c r="I169" s="3" t="str">
        <f t="shared" si="5"/>
        <v/>
      </c>
      <c r="J169" s="2"/>
      <c r="K169" s="2"/>
      <c r="L169" s="2"/>
      <c r="M169" s="2"/>
    </row>
    <row r="170" spans="1:13">
      <c r="A170" s="2"/>
      <c r="B170" s="4"/>
      <c r="C170" s="4"/>
      <c r="D170" s="2"/>
      <c r="E170" s="2"/>
      <c r="F170" s="2"/>
      <c r="G170" s="2"/>
      <c r="H170" s="2"/>
      <c r="I170" s="3" t="str">
        <f t="shared" si="5"/>
        <v/>
      </c>
      <c r="J170" s="2"/>
      <c r="K170" s="2"/>
      <c r="L170" s="2"/>
      <c r="M170" s="2"/>
    </row>
    <row r="171" spans="1:13">
      <c r="A171" s="2"/>
      <c r="B171" s="4"/>
      <c r="C171" s="4"/>
      <c r="D171" s="2"/>
      <c r="E171" s="2"/>
      <c r="F171" s="2"/>
      <c r="G171" s="2"/>
      <c r="H171" s="2"/>
      <c r="I171" s="3" t="str">
        <f t="shared" si="5"/>
        <v/>
      </c>
      <c r="J171" s="2"/>
      <c r="K171" s="2"/>
      <c r="L171" s="2"/>
      <c r="M171" s="2"/>
    </row>
    <row r="172" spans="1:13">
      <c r="A172" s="2"/>
      <c r="B172" s="4"/>
      <c r="C172" s="4"/>
      <c r="D172" s="2"/>
      <c r="E172" s="2"/>
      <c r="F172" s="2"/>
      <c r="G172" s="2"/>
      <c r="H172" s="2"/>
      <c r="I172" s="3" t="str">
        <f t="shared" si="5"/>
        <v/>
      </c>
      <c r="J172" s="2"/>
      <c r="K172" s="2"/>
      <c r="L172" s="2"/>
      <c r="M172" s="2"/>
    </row>
    <row r="173" spans="1:13">
      <c r="A173" s="2"/>
      <c r="B173" s="4"/>
      <c r="C173" s="4"/>
      <c r="D173" s="2"/>
      <c r="E173" s="2"/>
      <c r="F173" s="2"/>
      <c r="G173" s="2"/>
      <c r="H173" s="2"/>
      <c r="I173" s="3" t="str">
        <f t="shared" si="5"/>
        <v/>
      </c>
      <c r="J173" s="2"/>
      <c r="K173" s="2"/>
      <c r="L173" s="2"/>
      <c r="M173" s="2"/>
    </row>
    <row r="174" spans="1:13">
      <c r="A174" s="2"/>
      <c r="B174" s="4"/>
      <c r="C174" s="4"/>
      <c r="D174" s="2"/>
      <c r="E174" s="2"/>
      <c r="F174" s="2"/>
      <c r="G174" s="2"/>
      <c r="H174" s="2"/>
      <c r="I174" s="3" t="str">
        <f t="shared" si="5"/>
        <v/>
      </c>
      <c r="J174" s="2"/>
      <c r="K174" s="2"/>
      <c r="L174" s="2"/>
      <c r="M174" s="2"/>
    </row>
    <row r="175" spans="1:13">
      <c r="A175" s="2"/>
      <c r="B175" s="4"/>
      <c r="C175" s="4"/>
      <c r="D175" s="2"/>
      <c r="E175" s="2"/>
      <c r="F175" s="2"/>
      <c r="G175" s="2"/>
      <c r="H175" s="2"/>
      <c r="I175" s="3" t="str">
        <f t="shared" si="5"/>
        <v/>
      </c>
      <c r="J175" s="2"/>
      <c r="K175" s="2"/>
      <c r="L175" s="2"/>
      <c r="M175" s="2"/>
    </row>
    <row r="176" spans="1:13">
      <c r="A176" s="2"/>
      <c r="B176" s="4"/>
      <c r="C176" s="4"/>
      <c r="D176" s="2"/>
      <c r="E176" s="2"/>
      <c r="F176" s="2"/>
      <c r="G176" s="2"/>
      <c r="H176" s="2"/>
      <c r="I176" s="3" t="str">
        <f t="shared" si="5"/>
        <v/>
      </c>
      <c r="J176" s="2"/>
      <c r="K176" s="2"/>
      <c r="L176" s="2"/>
      <c r="M176" s="2"/>
    </row>
    <row r="177" spans="1:13">
      <c r="A177" s="2"/>
      <c r="B177" s="4"/>
      <c r="C177" s="4"/>
      <c r="D177" s="2"/>
      <c r="E177" s="2"/>
      <c r="F177" s="2"/>
      <c r="G177" s="2"/>
      <c r="H177" s="2"/>
      <c r="I177" s="3" t="str">
        <f t="shared" si="5"/>
        <v/>
      </c>
      <c r="J177" s="2"/>
      <c r="K177" s="2"/>
      <c r="L177" s="2"/>
      <c r="M177" s="2"/>
    </row>
    <row r="178" spans="1:13">
      <c r="A178" s="2"/>
      <c r="B178" s="4"/>
      <c r="C178" s="4"/>
      <c r="D178" s="2"/>
      <c r="E178" s="2"/>
      <c r="F178" s="2"/>
      <c r="G178" s="2"/>
      <c r="H178" s="2"/>
      <c r="I178" s="3" t="str">
        <f t="shared" si="5"/>
        <v/>
      </c>
      <c r="J178" s="2"/>
      <c r="K178" s="2"/>
      <c r="L178" s="2"/>
      <c r="M178" s="2"/>
    </row>
    <row r="179" spans="1:13">
      <c r="A179" s="2"/>
      <c r="B179" s="4"/>
      <c r="C179" s="4"/>
      <c r="D179" s="2"/>
      <c r="E179" s="2"/>
      <c r="F179" s="2"/>
      <c r="G179" s="2"/>
      <c r="H179" s="2"/>
      <c r="I179" s="3" t="str">
        <f t="shared" si="5"/>
        <v/>
      </c>
      <c r="J179" s="2"/>
      <c r="K179" s="2"/>
      <c r="L179" s="2"/>
      <c r="M179" s="2"/>
    </row>
    <row r="180" spans="1:13">
      <c r="A180" s="2"/>
      <c r="B180" s="4"/>
      <c r="C180" s="4"/>
      <c r="D180" s="2"/>
      <c r="E180" s="2"/>
      <c r="F180" s="2"/>
      <c r="G180" s="2"/>
      <c r="H180" s="2"/>
      <c r="I180" s="3" t="str">
        <f t="shared" si="5"/>
        <v/>
      </c>
      <c r="J180" s="2"/>
      <c r="K180" s="2"/>
      <c r="L180" s="2"/>
      <c r="M180" s="2"/>
    </row>
    <row r="181" spans="1:13">
      <c r="A181" s="2"/>
      <c r="B181" s="4"/>
      <c r="C181" s="4"/>
      <c r="D181" s="2"/>
      <c r="E181" s="2"/>
      <c r="F181" s="2"/>
      <c r="G181" s="2"/>
      <c r="H181" s="2"/>
      <c r="I181" s="3" t="str">
        <f t="shared" si="5"/>
        <v/>
      </c>
      <c r="J181" s="2"/>
      <c r="K181" s="2"/>
      <c r="L181" s="2"/>
      <c r="M181" s="2"/>
    </row>
    <row r="182" spans="1:13">
      <c r="A182" s="2"/>
      <c r="B182" s="4"/>
      <c r="C182" s="4"/>
      <c r="D182" s="2"/>
      <c r="E182" s="2"/>
      <c r="F182" s="2"/>
      <c r="G182" s="2"/>
      <c r="H182" s="2"/>
      <c r="I182" s="3" t="str">
        <f t="shared" si="5"/>
        <v/>
      </c>
      <c r="J182" s="2"/>
      <c r="K182" s="2"/>
      <c r="L182" s="2"/>
      <c r="M182" s="2"/>
    </row>
    <row r="183" spans="1:13">
      <c r="A183" s="2"/>
      <c r="B183" s="4"/>
      <c r="C183" s="4"/>
      <c r="D183" s="2"/>
      <c r="E183" s="2"/>
      <c r="F183" s="2"/>
      <c r="G183" s="2"/>
      <c r="H183" s="2"/>
      <c r="I183" s="3" t="str">
        <f t="shared" si="5"/>
        <v/>
      </c>
      <c r="J183" s="2"/>
      <c r="K183" s="2"/>
      <c r="L183" s="2"/>
      <c r="M183" s="2"/>
    </row>
    <row r="184" spans="1:13">
      <c r="A184" s="2"/>
      <c r="B184" s="4"/>
      <c r="C184" s="4"/>
      <c r="D184" s="2"/>
      <c r="E184" s="2"/>
      <c r="F184" s="2"/>
      <c r="G184" s="2"/>
      <c r="H184" s="2"/>
      <c r="I184" s="3" t="str">
        <f t="shared" si="5"/>
        <v/>
      </c>
      <c r="J184" s="2"/>
      <c r="K184" s="2"/>
      <c r="L184" s="2"/>
      <c r="M184" s="2"/>
    </row>
    <row r="185" spans="1:13">
      <c r="A185" s="2"/>
      <c r="B185" s="4"/>
      <c r="C185" s="4"/>
      <c r="D185" s="2"/>
      <c r="E185" s="2"/>
      <c r="F185" s="2"/>
      <c r="G185" s="2"/>
      <c r="H185" s="2"/>
      <c r="I185" s="3" t="str">
        <f t="shared" si="5"/>
        <v/>
      </c>
      <c r="J185" s="2"/>
      <c r="K185" s="2"/>
      <c r="L185" s="2"/>
      <c r="M185" s="2"/>
    </row>
    <row r="186" spans="1:13">
      <c r="A186" s="2"/>
      <c r="B186" s="4"/>
      <c r="C186" s="4"/>
      <c r="D186" s="2"/>
      <c r="E186" s="2"/>
      <c r="F186" s="2"/>
      <c r="G186" s="2"/>
      <c r="H186" s="2"/>
      <c r="I186" s="3" t="str">
        <f t="shared" si="5"/>
        <v/>
      </c>
      <c r="J186" s="2"/>
      <c r="K186" s="2"/>
      <c r="L186" s="2"/>
      <c r="M186" s="2"/>
    </row>
    <row r="187" spans="1:13">
      <c r="A187" s="2"/>
      <c r="B187" s="4"/>
      <c r="C187" s="4"/>
      <c r="D187" s="2"/>
      <c r="E187" s="2"/>
      <c r="F187" s="2"/>
      <c r="G187" s="2"/>
      <c r="H187" s="2"/>
      <c r="I187" s="3" t="str">
        <f t="shared" si="5"/>
        <v/>
      </c>
      <c r="J187" s="2"/>
      <c r="K187" s="2"/>
      <c r="L187" s="2"/>
      <c r="M187" s="2"/>
    </row>
    <row r="188" spans="1:13">
      <c r="A188" s="2"/>
      <c r="B188" s="4"/>
      <c r="C188" s="4"/>
      <c r="D188" s="2"/>
      <c r="E188" s="2"/>
      <c r="F188" s="2"/>
      <c r="G188" s="2"/>
      <c r="H188" s="2"/>
      <c r="I188" s="3" t="str">
        <f t="shared" si="5"/>
        <v/>
      </c>
      <c r="J188" s="2"/>
      <c r="K188" s="2"/>
      <c r="L188" s="2"/>
      <c r="M188" s="2"/>
    </row>
    <row r="189" spans="1:13">
      <c r="A189" s="2"/>
      <c r="B189" s="4"/>
      <c r="C189" s="4"/>
      <c r="D189" s="2"/>
      <c r="E189" s="2"/>
      <c r="F189" s="2"/>
      <c r="G189" s="2"/>
      <c r="H189" s="2"/>
      <c r="I189" s="3" t="str">
        <f t="shared" si="5"/>
        <v/>
      </c>
      <c r="J189" s="2"/>
      <c r="K189" s="2"/>
      <c r="L189" s="2"/>
      <c r="M189" s="2"/>
    </row>
    <row r="190" spans="1:13">
      <c r="A190" s="2"/>
      <c r="B190" s="4"/>
      <c r="C190" s="4"/>
      <c r="D190" s="2"/>
      <c r="E190" s="2"/>
      <c r="F190" s="2"/>
      <c r="G190" s="2"/>
      <c r="H190" s="2"/>
      <c r="I190" s="3" t="str">
        <f t="shared" si="5"/>
        <v/>
      </c>
      <c r="J190" s="2"/>
      <c r="K190" s="2"/>
      <c r="L190" s="2"/>
      <c r="M190" s="2"/>
    </row>
    <row r="191" spans="1:13">
      <c r="A191" s="2"/>
      <c r="B191" s="4"/>
      <c r="C191" s="4"/>
      <c r="D191" s="2"/>
      <c r="E191" s="2"/>
      <c r="F191" s="2"/>
      <c r="G191" s="2"/>
      <c r="H191" s="2"/>
      <c r="I191" s="3" t="str">
        <f t="shared" si="5"/>
        <v/>
      </c>
      <c r="J191" s="2"/>
      <c r="K191" s="2"/>
      <c r="L191" s="2"/>
      <c r="M191" s="2"/>
    </row>
    <row r="192" spans="1:13">
      <c r="A192" s="2"/>
      <c r="B192" s="4"/>
      <c r="C192" s="4"/>
      <c r="D192" s="2"/>
      <c r="E192" s="2"/>
      <c r="F192" s="2"/>
      <c r="G192" s="2"/>
      <c r="H192" s="2"/>
      <c r="I192" s="3" t="str">
        <f t="shared" si="5"/>
        <v/>
      </c>
      <c r="J192" s="2"/>
      <c r="K192" s="2"/>
      <c r="L192" s="2"/>
      <c r="M192" s="2"/>
    </row>
    <row r="193" spans="1:13">
      <c r="A193" s="2"/>
      <c r="B193" s="4"/>
      <c r="C193" s="4"/>
      <c r="D193" s="2"/>
      <c r="E193" s="2"/>
      <c r="F193" s="2"/>
      <c r="G193" s="2"/>
      <c r="H193" s="2"/>
      <c r="I193" s="3" t="str">
        <f t="shared" si="5"/>
        <v/>
      </c>
      <c r="J193" s="2"/>
      <c r="K193" s="2"/>
      <c r="L193" s="2"/>
      <c r="M193" s="2"/>
    </row>
    <row r="194" spans="1:13">
      <c r="A194" s="2"/>
      <c r="B194" s="4"/>
      <c r="C194" s="4"/>
      <c r="D194" s="2"/>
      <c r="E194" s="2"/>
      <c r="F194" s="2"/>
      <c r="G194" s="2"/>
      <c r="H194" s="2"/>
      <c r="I194" s="3" t="str">
        <f t="shared" si="5"/>
        <v/>
      </c>
      <c r="J194" s="2"/>
      <c r="K194" s="2"/>
      <c r="L194" s="2"/>
      <c r="M194" s="2"/>
    </row>
    <row r="195" spans="1:13">
      <c r="A195" s="2"/>
      <c r="B195" s="4"/>
      <c r="C195" s="4"/>
      <c r="D195" s="2"/>
      <c r="E195" s="2"/>
      <c r="F195" s="2"/>
      <c r="G195" s="2"/>
      <c r="H195" s="2"/>
      <c r="I195" s="3" t="str">
        <f t="shared" si="5"/>
        <v/>
      </c>
      <c r="J195" s="2"/>
      <c r="K195" s="2"/>
      <c r="L195" s="2"/>
      <c r="M195" s="2"/>
    </row>
    <row r="196" spans="1:13">
      <c r="A196" s="2"/>
      <c r="B196" s="4"/>
      <c r="C196" s="4"/>
      <c r="D196" s="2"/>
      <c r="E196" s="2"/>
      <c r="F196" s="2"/>
      <c r="G196" s="2"/>
      <c r="H196" s="2"/>
      <c r="I196" s="3" t="str">
        <f t="shared" ref="I196:I200" si="6">IF(OR(G196="",H196=""),"",IF(G196&gt;H196,"W",IF(G196&lt;H196,"L","T")))</f>
        <v/>
      </c>
      <c r="J196" s="2"/>
      <c r="K196" s="2"/>
      <c r="L196" s="2"/>
      <c r="M196" s="2"/>
    </row>
    <row r="197" spans="1:13">
      <c r="A197" s="2"/>
      <c r="B197" s="4"/>
      <c r="C197" s="4"/>
      <c r="D197" s="2"/>
      <c r="E197" s="2"/>
      <c r="F197" s="2"/>
      <c r="G197" s="2"/>
      <c r="H197" s="2"/>
      <c r="I197" s="3" t="str">
        <f t="shared" si="6"/>
        <v/>
      </c>
      <c r="J197" s="2"/>
      <c r="K197" s="2"/>
      <c r="L197" s="2"/>
      <c r="M197" s="2"/>
    </row>
    <row r="198" spans="1:13">
      <c r="A198" s="2"/>
      <c r="B198" s="4"/>
      <c r="C198" s="4"/>
      <c r="D198" s="2"/>
      <c r="E198" s="2"/>
      <c r="F198" s="2"/>
      <c r="G198" s="2"/>
      <c r="H198" s="2"/>
      <c r="I198" s="3" t="str">
        <f t="shared" si="6"/>
        <v/>
      </c>
      <c r="J198" s="2"/>
      <c r="K198" s="2"/>
      <c r="L198" s="2"/>
      <c r="M198" s="2"/>
    </row>
    <row r="199" spans="1:13">
      <c r="A199" s="2"/>
      <c r="B199" s="4"/>
      <c r="C199" s="4"/>
      <c r="D199" s="2"/>
      <c r="E199" s="2"/>
      <c r="F199" s="2"/>
      <c r="G199" s="2"/>
      <c r="H199" s="2"/>
      <c r="I199" s="3" t="str">
        <f t="shared" si="6"/>
        <v/>
      </c>
      <c r="J199" s="2"/>
      <c r="K199" s="2"/>
      <c r="L199" s="2"/>
      <c r="M199" s="2"/>
    </row>
    <row r="200" spans="1:13">
      <c r="A200" s="2"/>
      <c r="B200" s="4"/>
      <c r="C200" s="4"/>
      <c r="D200" s="2"/>
      <c r="E200" s="2"/>
      <c r="F200" s="2"/>
      <c r="G200" s="2"/>
      <c r="H200" s="2"/>
      <c r="I200" s="3" t="str">
        <f t="shared" si="6"/>
        <v/>
      </c>
      <c r="J200" s="2"/>
      <c r="K200" s="2"/>
      <c r="L200" s="2"/>
      <c r="M200" s="2"/>
    </row>
  </sheetData>
  <mergeCells count="1">
    <mergeCell ref="A1:M1"/>
  </mergeCells>
  <dataValidations count="2">
    <dataValidation type="list" sqref="J4:J200" xr:uid="{00000000-0002-0000-0200-000002000000}">
      <formula1>"No,OT,SO"</formula1>
    </dataValidation>
    <dataValidation type="list" sqref="F1:F1048576" xr:uid="{F7BC15CE-D381-4D67-9A40-6CEF31A03920}">
      <formula1>"Pre-season,League,Cup,Playoff,League/Cup"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00"/>
  <sheetViews>
    <sheetView tabSelected="1" zoomScaleNormal="100" zoomScaleSheetLayoutView="100" workbookViewId="0">
      <selection activeCell="D4" sqref="D4"/>
    </sheetView>
  </sheetViews>
  <sheetFormatPr defaultRowHeight="14.25"/>
  <cols>
    <col min="1" max="1" width="23.75" customWidth="1"/>
    <col min="2" max="2" width="7.375" customWidth="1"/>
    <col min="3" max="3" width="24" customWidth="1"/>
    <col min="4" max="4" width="11.25" customWidth="1"/>
    <col min="5" max="5" width="6.5" customWidth="1"/>
    <col min="6" max="6" width="7.625" customWidth="1"/>
    <col min="7" max="7" width="6.375" customWidth="1"/>
    <col min="8" max="8" width="5" customWidth="1"/>
    <col min="9" max="9" width="3.5" customWidth="1"/>
    <col min="10" max="10" width="7.125" customWidth="1"/>
  </cols>
  <sheetData>
    <row r="1" spans="1:10" ht="20.25">
      <c r="A1" s="22" t="s">
        <v>254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30">
      <c r="A3" s="6" t="s">
        <v>209</v>
      </c>
      <c r="B3" s="6" t="s">
        <v>111</v>
      </c>
      <c r="C3" s="6" t="s">
        <v>255</v>
      </c>
      <c r="D3" s="6" t="s">
        <v>256</v>
      </c>
      <c r="E3" s="6" t="s">
        <v>257</v>
      </c>
      <c r="F3" s="6" t="s">
        <v>258</v>
      </c>
      <c r="G3" s="6" t="s">
        <v>259</v>
      </c>
      <c r="H3" s="6" t="s">
        <v>260</v>
      </c>
      <c r="I3" s="6" t="s">
        <v>261</v>
      </c>
      <c r="J3" s="6" t="s">
        <v>116</v>
      </c>
    </row>
    <row r="4" spans="1:10">
      <c r="A4" s="7" t="s">
        <v>226</v>
      </c>
      <c r="B4" s="7" t="s">
        <v>117</v>
      </c>
      <c r="C4" s="10" t="str">
        <f>IF(B5="","",IFERROR(VLOOKUP(B4,Players!$A$4:$B$200,2,FALSE),""))</f>
        <v>Sam Peters</v>
      </c>
      <c r="D4" s="7" t="s">
        <v>36</v>
      </c>
      <c r="E4" s="7">
        <v>7</v>
      </c>
      <c r="F4" s="7">
        <v>7</v>
      </c>
      <c r="G4" s="10">
        <f>IF(AND(E4="",E4=""),"",SUM(E4:F4))</f>
        <v>14</v>
      </c>
      <c r="H4" s="7">
        <v>0</v>
      </c>
      <c r="I4" s="7"/>
      <c r="J4" s="7"/>
    </row>
    <row r="5" spans="1:10">
      <c r="A5" s="7" t="s">
        <v>226</v>
      </c>
      <c r="B5" s="7" t="s">
        <v>121</v>
      </c>
      <c r="C5" s="10" t="str">
        <f>IF(B5="","",IFERROR(VLOOKUP(B5,Players!$A$4:$B$200,2,FALSE),""))</f>
        <v>Marks Kanins</v>
      </c>
      <c r="D5" s="7" t="s">
        <v>36</v>
      </c>
      <c r="E5" s="7">
        <v>1</v>
      </c>
      <c r="F5" s="7">
        <v>3</v>
      </c>
      <c r="G5" s="10">
        <f>IF(AND(E5="",F5=""),"",SUM(E5:F5))</f>
        <v>4</v>
      </c>
      <c r="H5" s="7">
        <v>0</v>
      </c>
      <c r="I5" s="7"/>
      <c r="J5" s="7"/>
    </row>
    <row r="6" spans="1:10">
      <c r="A6" s="7" t="s">
        <v>226</v>
      </c>
      <c r="B6" s="7" t="s">
        <v>124</v>
      </c>
      <c r="C6" s="10" t="str">
        <f>IF(B6="","",IFERROR(VLOOKUP(B6,Players!$A$4:$B$200,2,FALSE),""))</f>
        <v>Dominic Wealthall</v>
      </c>
      <c r="D6" s="7" t="s">
        <v>36</v>
      </c>
      <c r="E6" s="7">
        <v>0</v>
      </c>
      <c r="F6" s="7">
        <v>1</v>
      </c>
      <c r="G6" s="10">
        <f t="shared" ref="G6:G67" si="0">IF(AND(E6="",F6=""),"",SUM(E6:F6))</f>
        <v>1</v>
      </c>
      <c r="H6" s="7">
        <v>7</v>
      </c>
      <c r="I6" s="7"/>
      <c r="J6" s="7"/>
    </row>
    <row r="7" spans="1:10">
      <c r="A7" s="7" t="s">
        <v>226</v>
      </c>
      <c r="B7" s="7" t="s">
        <v>133</v>
      </c>
      <c r="C7" s="10" t="str">
        <f>IF(B7="","",IFERROR(VLOOKUP(B7,Players!$A$4:$B$200,2,FALSE),""))</f>
        <v>Charlie Russell</v>
      </c>
      <c r="D7" s="7" t="s">
        <v>36</v>
      </c>
      <c r="E7" s="7">
        <v>2</v>
      </c>
      <c r="F7" s="7">
        <v>2</v>
      </c>
      <c r="G7" s="10">
        <f t="shared" si="0"/>
        <v>4</v>
      </c>
      <c r="H7" s="7">
        <v>0</v>
      </c>
      <c r="I7" s="7"/>
      <c r="J7" s="7"/>
    </row>
    <row r="8" spans="1:10">
      <c r="A8" s="7" t="s">
        <v>226</v>
      </c>
      <c r="B8" s="7" t="s">
        <v>136</v>
      </c>
      <c r="C8" s="10" t="str">
        <f>IF(B8="","",IFERROR(VLOOKUP(B8,Players!$A$4:$B$200,2,FALSE),""))</f>
        <v>Lewis Smith</v>
      </c>
      <c r="D8" s="7" t="s">
        <v>36</v>
      </c>
      <c r="E8" s="7">
        <v>3</v>
      </c>
      <c r="F8" s="7">
        <v>4</v>
      </c>
      <c r="G8" s="10">
        <f t="shared" si="0"/>
        <v>7</v>
      </c>
      <c r="H8" s="7">
        <v>0</v>
      </c>
      <c r="I8" s="7"/>
      <c r="J8" s="7"/>
    </row>
    <row r="9" spans="1:10">
      <c r="A9" s="7"/>
      <c r="B9" s="7"/>
      <c r="C9" s="10" t="str">
        <f>IF(B9="","",IFERROR(VLOOKUP(B9,Players!$A$4:$B$200,2,FALSE),""))</f>
        <v/>
      </c>
      <c r="D9" s="7"/>
      <c r="E9" s="7"/>
      <c r="F9" s="7"/>
      <c r="G9" s="10" t="str">
        <f t="shared" si="0"/>
        <v/>
      </c>
      <c r="H9" s="7"/>
      <c r="I9" s="7"/>
      <c r="J9" s="7"/>
    </row>
    <row r="10" spans="1:10">
      <c r="A10" s="7"/>
      <c r="B10" s="7"/>
      <c r="C10" s="10" t="str">
        <f>IF(B10="","",IFERROR(VLOOKUP(B10,Players!$A$4:$B$200,2,FALSE),""))</f>
        <v/>
      </c>
      <c r="D10" s="7"/>
      <c r="E10" s="7"/>
      <c r="F10" s="7"/>
      <c r="G10" s="10" t="str">
        <f t="shared" si="0"/>
        <v/>
      </c>
      <c r="H10" s="7"/>
      <c r="I10" s="7"/>
      <c r="J10" s="7"/>
    </row>
    <row r="11" spans="1:10">
      <c r="A11" s="7"/>
      <c r="B11" s="7"/>
      <c r="C11" s="10" t="str">
        <f>IF(B11="","",IFERROR(VLOOKUP(B11,Players!$A$4:$B$200,2,FALSE),""))</f>
        <v/>
      </c>
      <c r="D11" s="7"/>
      <c r="E11" s="7"/>
      <c r="F11" s="7"/>
      <c r="G11" s="10" t="str">
        <f t="shared" si="0"/>
        <v/>
      </c>
      <c r="H11" s="7"/>
      <c r="I11" s="7"/>
      <c r="J11" s="7"/>
    </row>
    <row r="12" spans="1:10">
      <c r="A12" s="7"/>
      <c r="B12" s="7"/>
      <c r="C12" s="10" t="str">
        <f>IF(B12="","",IFERROR(VLOOKUP(B12,Players!$A$4:$B$200,2,FALSE),""))</f>
        <v/>
      </c>
      <c r="D12" s="7"/>
      <c r="E12" s="7"/>
      <c r="F12" s="7"/>
      <c r="G12" s="10" t="str">
        <f t="shared" si="0"/>
        <v/>
      </c>
      <c r="H12" s="7"/>
      <c r="I12" s="7"/>
      <c r="J12" s="7"/>
    </row>
    <row r="13" spans="1:10">
      <c r="A13" s="7"/>
      <c r="B13" s="7"/>
      <c r="C13" s="10" t="str">
        <f>IF(B13="","",IFERROR(VLOOKUP(B13,Players!$A$4:$B$200,2,FALSE),""))</f>
        <v/>
      </c>
      <c r="D13" s="7"/>
      <c r="E13" s="7"/>
      <c r="F13" s="7"/>
      <c r="G13" s="10" t="str">
        <f t="shared" si="0"/>
        <v/>
      </c>
      <c r="H13" s="7"/>
      <c r="I13" s="7"/>
      <c r="J13" s="7"/>
    </row>
    <row r="14" spans="1:10">
      <c r="A14" s="7"/>
      <c r="B14" s="7"/>
      <c r="C14" s="10" t="str">
        <f>IF(B14="","",IFERROR(VLOOKUP(B14,Players!$A$4:$B$200,2,FALSE),""))</f>
        <v/>
      </c>
      <c r="D14" s="7"/>
      <c r="E14" s="7"/>
      <c r="F14" s="7"/>
      <c r="G14" s="10" t="str">
        <f t="shared" si="0"/>
        <v/>
      </c>
      <c r="H14" s="7"/>
      <c r="I14" s="7"/>
      <c r="J14" s="7"/>
    </row>
    <row r="15" spans="1:10">
      <c r="A15" s="7"/>
      <c r="B15" s="7"/>
      <c r="C15" s="10" t="str">
        <f>IF(B15="","",IFERROR(VLOOKUP(B15,Players!$A$4:$B$200,2,FALSE),""))</f>
        <v/>
      </c>
      <c r="D15" s="7"/>
      <c r="E15" s="7"/>
      <c r="F15" s="7"/>
      <c r="G15" s="10" t="str">
        <f t="shared" si="0"/>
        <v/>
      </c>
      <c r="H15" s="7"/>
      <c r="I15" s="7"/>
      <c r="J15" s="7"/>
    </row>
    <row r="16" spans="1:10">
      <c r="A16" s="7"/>
      <c r="B16" s="7"/>
      <c r="C16" s="10" t="str">
        <f>IF(B16="","",IFERROR(VLOOKUP(B16,Players!$A$4:$B$200,2,FALSE),""))</f>
        <v/>
      </c>
      <c r="D16" s="7"/>
      <c r="E16" s="7"/>
      <c r="F16" s="7"/>
      <c r="G16" s="10" t="str">
        <f t="shared" si="0"/>
        <v/>
      </c>
      <c r="H16" s="7"/>
      <c r="I16" s="7"/>
      <c r="J16" s="7"/>
    </row>
    <row r="17" spans="1:10">
      <c r="A17" s="7"/>
      <c r="B17" s="7"/>
      <c r="C17" s="10" t="str">
        <f>IF(B17="","",IFERROR(VLOOKUP(B17,Players!$A$4:$B$200,2,FALSE),""))</f>
        <v/>
      </c>
      <c r="D17" s="7"/>
      <c r="E17" s="7"/>
      <c r="F17" s="7"/>
      <c r="G17" s="10" t="str">
        <f t="shared" si="0"/>
        <v/>
      </c>
      <c r="H17" s="7"/>
      <c r="I17" s="7"/>
      <c r="J17" s="7"/>
    </row>
    <row r="18" spans="1:10">
      <c r="A18" s="7"/>
      <c r="B18" s="7"/>
      <c r="C18" s="10" t="str">
        <f>IF(B18="","",IFERROR(VLOOKUP(B18,Players!$A$4:$B$200,2,FALSE),""))</f>
        <v/>
      </c>
      <c r="D18" s="7"/>
      <c r="E18" s="7"/>
      <c r="F18" s="7"/>
      <c r="G18" s="10" t="str">
        <f t="shared" si="0"/>
        <v/>
      </c>
      <c r="H18" s="7"/>
      <c r="I18" s="7"/>
      <c r="J18" s="7"/>
    </row>
    <row r="19" spans="1:10">
      <c r="A19" s="7"/>
      <c r="B19" s="7"/>
      <c r="C19" s="10" t="str">
        <f>IF(B19="","",IFERROR(VLOOKUP(B19,Players!$A$4:$B$200,2,FALSE),""))</f>
        <v/>
      </c>
      <c r="D19" s="7"/>
      <c r="E19" s="7"/>
      <c r="F19" s="7"/>
      <c r="G19" s="10" t="str">
        <f t="shared" si="0"/>
        <v/>
      </c>
      <c r="H19" s="7"/>
      <c r="I19" s="7"/>
      <c r="J19" s="7"/>
    </row>
    <row r="20" spans="1:10">
      <c r="A20" s="7"/>
      <c r="B20" s="7"/>
      <c r="C20" s="10" t="str">
        <f>IF(B20="","",IFERROR(VLOOKUP(B20,Players!$A$4:$B$200,2,FALSE),""))</f>
        <v/>
      </c>
      <c r="D20" s="7"/>
      <c r="E20" s="7"/>
      <c r="F20" s="7"/>
      <c r="G20" s="10" t="str">
        <f t="shared" si="0"/>
        <v/>
      </c>
      <c r="H20" s="7"/>
      <c r="I20" s="7"/>
      <c r="J20" s="7"/>
    </row>
    <row r="21" spans="1:10">
      <c r="A21" s="7"/>
      <c r="B21" s="7"/>
      <c r="C21" s="10" t="str">
        <f>IF(B21="","",IFERROR(VLOOKUP(B21,Players!$A$4:$B$200,2,FALSE),""))</f>
        <v/>
      </c>
      <c r="D21" s="7"/>
      <c r="E21" s="7"/>
      <c r="F21" s="7"/>
      <c r="G21" s="10" t="str">
        <f t="shared" si="0"/>
        <v/>
      </c>
      <c r="H21" s="7"/>
      <c r="I21" s="7"/>
      <c r="J21" s="7"/>
    </row>
    <row r="22" spans="1:10">
      <c r="A22" s="7"/>
      <c r="B22" s="7"/>
      <c r="C22" s="10" t="str">
        <f>IF(B22="","",IFERROR(VLOOKUP(B22,Players!$A$4:$B$200,2,FALSE),""))</f>
        <v/>
      </c>
      <c r="D22" s="7"/>
      <c r="E22" s="7"/>
      <c r="F22" s="7"/>
      <c r="G22" s="10" t="str">
        <f t="shared" si="0"/>
        <v/>
      </c>
      <c r="H22" s="7"/>
      <c r="I22" s="7"/>
      <c r="J22" s="7"/>
    </row>
    <row r="23" spans="1:10">
      <c r="A23" s="7"/>
      <c r="B23" s="7"/>
      <c r="C23" s="10" t="str">
        <f>IF(B23="","",IFERROR(VLOOKUP(B23,Players!$A$4:$B$200,2,FALSE),""))</f>
        <v/>
      </c>
      <c r="D23" s="7"/>
      <c r="E23" s="7"/>
      <c r="F23" s="7"/>
      <c r="G23" s="10" t="str">
        <f t="shared" si="0"/>
        <v/>
      </c>
      <c r="H23" s="7"/>
      <c r="I23" s="7"/>
      <c r="J23" s="7"/>
    </row>
    <row r="24" spans="1:10">
      <c r="A24" s="7"/>
      <c r="B24" s="7"/>
      <c r="C24" s="10" t="str">
        <f>IF(B24="","",IFERROR(VLOOKUP(B24,Players!$A$4:$B$200,2,FALSE),""))</f>
        <v/>
      </c>
      <c r="D24" s="7"/>
      <c r="E24" s="7"/>
      <c r="F24" s="7"/>
      <c r="G24" s="10" t="str">
        <f t="shared" si="0"/>
        <v/>
      </c>
      <c r="H24" s="7"/>
      <c r="I24" s="7"/>
      <c r="J24" s="7"/>
    </row>
    <row r="25" spans="1:10">
      <c r="A25" s="7"/>
      <c r="B25" s="7"/>
      <c r="C25" s="10" t="str">
        <f>IF(B25="","",IFERROR(VLOOKUP(B25,Players!$A$4:$B$200,2,FALSE),""))</f>
        <v/>
      </c>
      <c r="D25" s="7"/>
      <c r="E25" s="7"/>
      <c r="F25" s="7"/>
      <c r="G25" s="10" t="str">
        <f t="shared" si="0"/>
        <v/>
      </c>
      <c r="H25" s="7"/>
      <c r="I25" s="7"/>
      <c r="J25" s="7"/>
    </row>
    <row r="26" spans="1:10">
      <c r="A26" s="2"/>
      <c r="B26" s="2"/>
      <c r="C26" s="3" t="str">
        <f>IF(B26="","",IFERROR(VLOOKUP(B26,Players!$A$4:$B$200,2,FALSE),""))</f>
        <v/>
      </c>
      <c r="D26" s="2"/>
      <c r="E26" s="2"/>
      <c r="F26" s="2"/>
      <c r="G26" s="3" t="str">
        <f t="shared" si="0"/>
        <v/>
      </c>
      <c r="H26" s="2"/>
      <c r="I26" s="2"/>
      <c r="J26" s="2"/>
    </row>
    <row r="27" spans="1:10">
      <c r="A27" s="2"/>
      <c r="B27" s="2"/>
      <c r="C27" s="3" t="str">
        <f>IF(B27="","",IFERROR(VLOOKUP(B27,Players!$A$4:$B$200,2,FALSE),""))</f>
        <v/>
      </c>
      <c r="D27" s="2"/>
      <c r="E27" s="2"/>
      <c r="F27" s="2"/>
      <c r="G27" s="3" t="str">
        <f t="shared" si="0"/>
        <v/>
      </c>
      <c r="H27" s="2"/>
      <c r="I27" s="2"/>
      <c r="J27" s="2"/>
    </row>
    <row r="28" spans="1:10">
      <c r="A28" s="2"/>
      <c r="B28" s="2"/>
      <c r="C28" s="3" t="str">
        <f>IF(B28="","",IFERROR(VLOOKUP(B28,Players!$A$4:$B$200,2,FALSE),""))</f>
        <v/>
      </c>
      <c r="D28" s="2"/>
      <c r="E28" s="2"/>
      <c r="F28" s="2"/>
      <c r="G28" s="3" t="str">
        <f t="shared" si="0"/>
        <v/>
      </c>
      <c r="H28" s="2"/>
      <c r="I28" s="2"/>
      <c r="J28" s="2"/>
    </row>
    <row r="29" spans="1:10">
      <c r="A29" s="2"/>
      <c r="B29" s="2"/>
      <c r="C29" s="3" t="str">
        <f>IF(B29="","",IFERROR(VLOOKUP(B29,Players!$A$4:$B$200,2,FALSE),""))</f>
        <v/>
      </c>
      <c r="D29" s="2"/>
      <c r="E29" s="2"/>
      <c r="F29" s="2"/>
      <c r="G29" s="3" t="str">
        <f t="shared" si="0"/>
        <v/>
      </c>
      <c r="H29" s="2"/>
      <c r="I29" s="2"/>
      <c r="J29" s="2"/>
    </row>
    <row r="30" spans="1:10">
      <c r="A30" s="2"/>
      <c r="B30" s="2"/>
      <c r="C30" s="3" t="str">
        <f>IF(B30="","",IFERROR(VLOOKUP(B30,Players!$A$4:$B$200,2,FALSE),""))</f>
        <v/>
      </c>
      <c r="D30" s="2"/>
      <c r="E30" s="2"/>
      <c r="F30" s="2"/>
      <c r="G30" s="3" t="str">
        <f t="shared" si="0"/>
        <v/>
      </c>
      <c r="H30" s="2"/>
      <c r="I30" s="2"/>
      <c r="J30" s="2"/>
    </row>
    <row r="31" spans="1:10">
      <c r="A31" s="2"/>
      <c r="B31" s="2"/>
      <c r="C31" s="3" t="str">
        <f>IF(B31="","",IFERROR(VLOOKUP(B31,Players!$A$4:$B$200,2,FALSE),""))</f>
        <v/>
      </c>
      <c r="D31" s="2"/>
      <c r="E31" s="2"/>
      <c r="F31" s="2"/>
      <c r="G31" s="3" t="str">
        <f t="shared" si="0"/>
        <v/>
      </c>
      <c r="H31" s="2"/>
      <c r="I31" s="2"/>
      <c r="J31" s="2"/>
    </row>
    <row r="32" spans="1:10">
      <c r="A32" s="2"/>
      <c r="B32" s="2"/>
      <c r="C32" s="3" t="str">
        <f>IF(B32="","",IFERROR(VLOOKUP(B32,Players!$A$4:$B$200,2,FALSE),""))</f>
        <v/>
      </c>
      <c r="D32" s="2"/>
      <c r="E32" s="2"/>
      <c r="F32" s="2"/>
      <c r="G32" s="3" t="str">
        <f t="shared" si="0"/>
        <v/>
      </c>
      <c r="H32" s="2"/>
      <c r="I32" s="2"/>
      <c r="J32" s="2"/>
    </row>
    <row r="33" spans="1:10">
      <c r="A33" s="2"/>
      <c r="B33" s="2"/>
      <c r="C33" s="3" t="str">
        <f>IF(B33="","",IFERROR(VLOOKUP(B33,Players!$A$4:$B$200,2,FALSE),""))</f>
        <v/>
      </c>
      <c r="D33" s="2"/>
      <c r="E33" s="2"/>
      <c r="F33" s="2"/>
      <c r="G33" s="3" t="str">
        <f t="shared" si="0"/>
        <v/>
      </c>
      <c r="H33" s="2"/>
      <c r="I33" s="2"/>
      <c r="J33" s="2"/>
    </row>
    <row r="34" spans="1:10">
      <c r="A34" s="2"/>
      <c r="B34" s="2"/>
      <c r="C34" s="3" t="str">
        <f>IF(B34="","",IFERROR(VLOOKUP(B34,Players!$A$4:$B$200,2,FALSE),""))</f>
        <v/>
      </c>
      <c r="D34" s="2"/>
      <c r="E34" s="2"/>
      <c r="F34" s="2"/>
      <c r="G34" s="3" t="str">
        <f t="shared" si="0"/>
        <v/>
      </c>
      <c r="H34" s="2"/>
      <c r="I34" s="2"/>
      <c r="J34" s="2"/>
    </row>
    <row r="35" spans="1:10">
      <c r="A35" s="2"/>
      <c r="B35" s="2"/>
      <c r="C35" s="3" t="str">
        <f>IF(B35="","",IFERROR(VLOOKUP(B35,Players!$A$4:$B$200,2,FALSE),""))</f>
        <v/>
      </c>
      <c r="D35" s="2"/>
      <c r="E35" s="2"/>
      <c r="F35" s="2"/>
      <c r="G35" s="3" t="str">
        <f t="shared" si="0"/>
        <v/>
      </c>
      <c r="H35" s="2"/>
      <c r="I35" s="2"/>
      <c r="J35" s="2"/>
    </row>
    <row r="36" spans="1:10">
      <c r="A36" s="2"/>
      <c r="B36" s="2"/>
      <c r="C36" s="3" t="str">
        <f>IF(B36="","",IFERROR(VLOOKUP(B36,Players!$A$4:$B$200,2,FALSE),""))</f>
        <v/>
      </c>
      <c r="D36" s="2"/>
      <c r="E36" s="2"/>
      <c r="F36" s="2"/>
      <c r="G36" s="3" t="str">
        <f t="shared" si="0"/>
        <v/>
      </c>
      <c r="H36" s="2"/>
      <c r="I36" s="2"/>
      <c r="J36" s="2"/>
    </row>
    <row r="37" spans="1:10">
      <c r="A37" s="2"/>
      <c r="B37" s="2"/>
      <c r="C37" s="3" t="str">
        <f>IF(B37="","",IFERROR(VLOOKUP(B37,Players!$A$4:$B$200,2,FALSE),""))</f>
        <v/>
      </c>
      <c r="D37" s="2"/>
      <c r="E37" s="2"/>
      <c r="F37" s="2"/>
      <c r="G37" s="3" t="str">
        <f t="shared" si="0"/>
        <v/>
      </c>
      <c r="H37" s="2"/>
      <c r="I37" s="2"/>
      <c r="J37" s="2"/>
    </row>
    <row r="38" spans="1:10">
      <c r="A38" s="2"/>
      <c r="B38" s="2"/>
      <c r="C38" s="3" t="str">
        <f>IF(B38="","",IFERROR(VLOOKUP(B38,Players!$A$4:$B$200,2,FALSE),""))</f>
        <v/>
      </c>
      <c r="D38" s="2"/>
      <c r="E38" s="2"/>
      <c r="F38" s="2"/>
      <c r="G38" s="3" t="str">
        <f t="shared" si="0"/>
        <v/>
      </c>
      <c r="H38" s="2"/>
      <c r="I38" s="2"/>
      <c r="J38" s="2"/>
    </row>
    <row r="39" spans="1:10">
      <c r="A39" s="2"/>
      <c r="B39" s="2"/>
      <c r="C39" s="3" t="str">
        <f>IF(B39="","",IFERROR(VLOOKUP(B39,Players!$A$4:$B$200,2,FALSE),""))</f>
        <v/>
      </c>
      <c r="D39" s="2"/>
      <c r="E39" s="2"/>
      <c r="F39" s="2"/>
      <c r="G39" s="3" t="str">
        <f t="shared" si="0"/>
        <v/>
      </c>
      <c r="H39" s="2"/>
      <c r="I39" s="2"/>
      <c r="J39" s="2"/>
    </row>
    <row r="40" spans="1:10">
      <c r="A40" s="2"/>
      <c r="B40" s="2"/>
      <c r="C40" s="3" t="str">
        <f>IF(B40="","",IFERROR(VLOOKUP(B40,Players!$A$4:$B$200,2,FALSE),""))</f>
        <v/>
      </c>
      <c r="D40" s="2"/>
      <c r="E40" s="2"/>
      <c r="F40" s="2"/>
      <c r="G40" s="3" t="str">
        <f t="shared" si="0"/>
        <v/>
      </c>
      <c r="H40" s="2"/>
      <c r="I40" s="2"/>
      <c r="J40" s="2"/>
    </row>
    <row r="41" spans="1:10">
      <c r="A41" s="2"/>
      <c r="B41" s="2"/>
      <c r="C41" s="3" t="str">
        <f>IF(B41="","",IFERROR(VLOOKUP(B41,Players!$A$4:$B$200,2,FALSE),""))</f>
        <v/>
      </c>
      <c r="D41" s="2"/>
      <c r="E41" s="2"/>
      <c r="F41" s="2"/>
      <c r="G41" s="3" t="str">
        <f t="shared" si="0"/>
        <v/>
      </c>
      <c r="H41" s="2"/>
      <c r="I41" s="2"/>
      <c r="J41" s="2"/>
    </row>
    <row r="42" spans="1:10">
      <c r="A42" s="2"/>
      <c r="B42" s="2"/>
      <c r="C42" s="3" t="str">
        <f>IF(B42="","",IFERROR(VLOOKUP(B42,Players!$A$4:$B$200,2,FALSE),""))</f>
        <v/>
      </c>
      <c r="D42" s="2"/>
      <c r="E42" s="2"/>
      <c r="F42" s="2"/>
      <c r="G42" s="3" t="str">
        <f t="shared" si="0"/>
        <v/>
      </c>
      <c r="H42" s="2"/>
      <c r="I42" s="2"/>
      <c r="J42" s="2"/>
    </row>
    <row r="43" spans="1:10">
      <c r="A43" s="2"/>
      <c r="B43" s="2"/>
      <c r="C43" s="3" t="str">
        <f>IF(B43="","",IFERROR(VLOOKUP(B43,Players!$A$4:$B$200,2,FALSE),""))</f>
        <v/>
      </c>
      <c r="D43" s="2"/>
      <c r="E43" s="2"/>
      <c r="F43" s="2"/>
      <c r="G43" s="3" t="str">
        <f t="shared" si="0"/>
        <v/>
      </c>
      <c r="H43" s="2"/>
      <c r="I43" s="2"/>
      <c r="J43" s="2"/>
    </row>
    <row r="44" spans="1:10">
      <c r="A44" s="2"/>
      <c r="B44" s="2"/>
      <c r="C44" s="3" t="str">
        <f>IF(B44="","",IFERROR(VLOOKUP(B44,Players!$A$4:$B$200,2,FALSE),""))</f>
        <v/>
      </c>
      <c r="D44" s="2"/>
      <c r="E44" s="2"/>
      <c r="F44" s="2"/>
      <c r="G44" s="3" t="str">
        <f t="shared" si="0"/>
        <v/>
      </c>
      <c r="H44" s="2"/>
      <c r="I44" s="2"/>
      <c r="J44" s="2"/>
    </row>
    <row r="45" spans="1:10">
      <c r="A45" s="2"/>
      <c r="B45" s="2"/>
      <c r="C45" s="3" t="str">
        <f>IF(B45="","",IFERROR(VLOOKUP(B45,Players!$A$4:$B$200,2,FALSE),""))</f>
        <v/>
      </c>
      <c r="D45" s="2"/>
      <c r="E45" s="2"/>
      <c r="F45" s="2"/>
      <c r="G45" s="3" t="str">
        <f t="shared" si="0"/>
        <v/>
      </c>
      <c r="H45" s="2"/>
      <c r="I45" s="2"/>
      <c r="J45" s="2"/>
    </row>
    <row r="46" spans="1:10">
      <c r="A46" s="2"/>
      <c r="B46" s="2"/>
      <c r="C46" s="3" t="str">
        <f>IF(B46="","",IFERROR(VLOOKUP(B46,Players!$A$4:$B$200,2,FALSE),""))</f>
        <v/>
      </c>
      <c r="D46" s="2"/>
      <c r="E46" s="2"/>
      <c r="F46" s="2"/>
      <c r="G46" s="3" t="str">
        <f t="shared" si="0"/>
        <v/>
      </c>
      <c r="H46" s="2"/>
      <c r="I46" s="2"/>
      <c r="J46" s="2"/>
    </row>
    <row r="47" spans="1:10">
      <c r="A47" s="2"/>
      <c r="B47" s="2"/>
      <c r="C47" s="3" t="str">
        <f>IF(B47="","",IFERROR(VLOOKUP(B47,Players!$A$4:$B$200,2,FALSE),""))</f>
        <v/>
      </c>
      <c r="D47" s="2"/>
      <c r="E47" s="2"/>
      <c r="F47" s="2"/>
      <c r="G47" s="3" t="str">
        <f t="shared" si="0"/>
        <v/>
      </c>
      <c r="H47" s="2"/>
      <c r="I47" s="2"/>
      <c r="J47" s="2"/>
    </row>
    <row r="48" spans="1:10">
      <c r="A48" s="2"/>
      <c r="B48" s="2"/>
      <c r="C48" s="3" t="str">
        <f>IF(B48="","",IFERROR(VLOOKUP(B48,Players!$A$4:$B$200,2,FALSE),""))</f>
        <v/>
      </c>
      <c r="D48" s="2"/>
      <c r="E48" s="2"/>
      <c r="F48" s="2"/>
      <c r="G48" s="3" t="str">
        <f t="shared" si="0"/>
        <v/>
      </c>
      <c r="H48" s="2"/>
      <c r="I48" s="2"/>
      <c r="J48" s="2"/>
    </row>
    <row r="49" spans="1:10">
      <c r="A49" s="2"/>
      <c r="B49" s="2"/>
      <c r="C49" s="3" t="str">
        <f>IF(B49="","",IFERROR(VLOOKUP(B49,Players!$A$4:$B$200,2,FALSE),""))</f>
        <v/>
      </c>
      <c r="D49" s="2"/>
      <c r="E49" s="2"/>
      <c r="F49" s="2"/>
      <c r="G49" s="3" t="str">
        <f t="shared" si="0"/>
        <v/>
      </c>
      <c r="H49" s="2"/>
      <c r="I49" s="2"/>
      <c r="J49" s="2"/>
    </row>
    <row r="50" spans="1:10">
      <c r="A50" s="2"/>
      <c r="B50" s="2"/>
      <c r="C50" s="3" t="str">
        <f>IF(B50="","",IFERROR(VLOOKUP(B50,Players!$A$4:$B$200,2,FALSE),""))</f>
        <v/>
      </c>
      <c r="D50" s="2"/>
      <c r="E50" s="2"/>
      <c r="F50" s="2"/>
      <c r="G50" s="3" t="str">
        <f t="shared" si="0"/>
        <v/>
      </c>
      <c r="H50" s="2"/>
      <c r="I50" s="2"/>
      <c r="J50" s="2"/>
    </row>
    <row r="51" spans="1:10">
      <c r="A51" s="2"/>
      <c r="B51" s="2"/>
      <c r="C51" s="3" t="str">
        <f>IF(B51="","",IFERROR(VLOOKUP(B51,Players!$A$4:$B$200,2,FALSE),""))</f>
        <v/>
      </c>
      <c r="D51" s="2"/>
      <c r="E51" s="2"/>
      <c r="F51" s="2"/>
      <c r="G51" s="3" t="str">
        <f t="shared" si="0"/>
        <v/>
      </c>
      <c r="H51" s="2"/>
      <c r="I51" s="2"/>
      <c r="J51" s="2"/>
    </row>
    <row r="52" spans="1:10">
      <c r="A52" s="2"/>
      <c r="B52" s="2"/>
      <c r="C52" s="3" t="str">
        <f>IF(B52="","",IFERROR(VLOOKUP(B52,Players!$A$4:$B$200,2,FALSE),""))</f>
        <v/>
      </c>
      <c r="D52" s="2"/>
      <c r="E52" s="2"/>
      <c r="F52" s="2"/>
      <c r="G52" s="3" t="str">
        <f t="shared" si="0"/>
        <v/>
      </c>
      <c r="H52" s="2"/>
      <c r="I52" s="2"/>
      <c r="J52" s="2"/>
    </row>
    <row r="53" spans="1:10">
      <c r="A53" s="2"/>
      <c r="B53" s="2"/>
      <c r="C53" s="3" t="str">
        <f>IF(B53="","",IFERROR(VLOOKUP(B53,Players!$A$4:$B$200,2,FALSE),""))</f>
        <v/>
      </c>
      <c r="D53" s="2"/>
      <c r="E53" s="2"/>
      <c r="F53" s="2"/>
      <c r="G53" s="3" t="str">
        <f t="shared" si="0"/>
        <v/>
      </c>
      <c r="H53" s="2"/>
      <c r="I53" s="2"/>
      <c r="J53" s="2"/>
    </row>
    <row r="54" spans="1:10">
      <c r="A54" s="2"/>
      <c r="B54" s="2"/>
      <c r="C54" s="3" t="str">
        <f>IF(B54="","",IFERROR(VLOOKUP(B54,Players!$A$4:$B$200,2,FALSE),""))</f>
        <v/>
      </c>
      <c r="D54" s="2"/>
      <c r="E54" s="2"/>
      <c r="F54" s="2"/>
      <c r="G54" s="3" t="str">
        <f t="shared" si="0"/>
        <v/>
      </c>
      <c r="H54" s="2"/>
      <c r="I54" s="2"/>
      <c r="J54" s="2"/>
    </row>
    <row r="55" spans="1:10">
      <c r="A55" s="2"/>
      <c r="B55" s="2"/>
      <c r="C55" s="3" t="str">
        <f>IF(B55="","",IFERROR(VLOOKUP(B55,Players!$A$4:$B$200,2,FALSE),""))</f>
        <v/>
      </c>
      <c r="D55" s="2"/>
      <c r="E55" s="2"/>
      <c r="F55" s="2"/>
      <c r="G55" s="3" t="str">
        <f t="shared" si="0"/>
        <v/>
      </c>
      <c r="H55" s="2"/>
      <c r="I55" s="2"/>
      <c r="J55" s="2"/>
    </row>
    <row r="56" spans="1:10">
      <c r="A56" s="2"/>
      <c r="B56" s="2"/>
      <c r="C56" s="3" t="str">
        <f>IF(B56="","",IFERROR(VLOOKUP(B56,Players!$A$4:$B$200,2,FALSE),""))</f>
        <v/>
      </c>
      <c r="D56" s="2"/>
      <c r="E56" s="2"/>
      <c r="F56" s="2"/>
      <c r="G56" s="3" t="str">
        <f t="shared" si="0"/>
        <v/>
      </c>
      <c r="H56" s="2"/>
      <c r="I56" s="2"/>
      <c r="J56" s="2"/>
    </row>
    <row r="57" spans="1:10">
      <c r="A57" s="2"/>
      <c r="B57" s="2"/>
      <c r="C57" s="3" t="str">
        <f>IF(B57="","",IFERROR(VLOOKUP(B57,Players!$A$4:$B$200,2,FALSE),""))</f>
        <v/>
      </c>
      <c r="D57" s="2"/>
      <c r="E57" s="2"/>
      <c r="F57" s="2"/>
      <c r="G57" s="3" t="str">
        <f t="shared" si="0"/>
        <v/>
      </c>
      <c r="H57" s="2"/>
      <c r="I57" s="2"/>
      <c r="J57" s="2"/>
    </row>
    <row r="58" spans="1:10">
      <c r="A58" s="2"/>
      <c r="B58" s="2"/>
      <c r="C58" s="3" t="str">
        <f>IF(B58="","",IFERROR(VLOOKUP(B58,Players!$A$4:$B$200,2,FALSE),""))</f>
        <v/>
      </c>
      <c r="D58" s="2"/>
      <c r="E58" s="2"/>
      <c r="F58" s="2"/>
      <c r="G58" s="3" t="str">
        <f t="shared" si="0"/>
        <v/>
      </c>
      <c r="H58" s="2"/>
      <c r="I58" s="2"/>
      <c r="J58" s="2"/>
    </row>
    <row r="59" spans="1:10">
      <c r="A59" s="2"/>
      <c r="B59" s="2"/>
      <c r="C59" s="3" t="str">
        <f>IF(B59="","",IFERROR(VLOOKUP(B59,Players!$A$4:$B$200,2,FALSE),""))</f>
        <v/>
      </c>
      <c r="D59" s="2"/>
      <c r="E59" s="2"/>
      <c r="F59" s="2"/>
      <c r="G59" s="3" t="str">
        <f t="shared" si="0"/>
        <v/>
      </c>
      <c r="H59" s="2"/>
      <c r="I59" s="2"/>
      <c r="J59" s="2"/>
    </row>
    <row r="60" spans="1:10">
      <c r="A60" s="2"/>
      <c r="B60" s="2"/>
      <c r="C60" s="3" t="str">
        <f>IF(B60="","",IFERROR(VLOOKUP(B60,Players!$A$4:$B$200,2,FALSE),""))</f>
        <v/>
      </c>
      <c r="D60" s="2"/>
      <c r="E60" s="2"/>
      <c r="F60" s="2"/>
      <c r="G60" s="3" t="str">
        <f t="shared" si="0"/>
        <v/>
      </c>
      <c r="H60" s="2"/>
      <c r="I60" s="2"/>
      <c r="J60" s="2"/>
    </row>
    <row r="61" spans="1:10">
      <c r="A61" s="2"/>
      <c r="B61" s="2"/>
      <c r="C61" s="3" t="str">
        <f>IF(B61="","",IFERROR(VLOOKUP(B61,Players!$A$4:$B$200,2,FALSE),""))</f>
        <v/>
      </c>
      <c r="D61" s="2"/>
      <c r="E61" s="2"/>
      <c r="F61" s="2"/>
      <c r="G61" s="3" t="str">
        <f t="shared" si="0"/>
        <v/>
      </c>
      <c r="H61" s="2"/>
      <c r="I61" s="2"/>
      <c r="J61" s="2"/>
    </row>
    <row r="62" spans="1:10">
      <c r="A62" s="2"/>
      <c r="B62" s="2"/>
      <c r="C62" s="3" t="str">
        <f>IF(B62="","",IFERROR(VLOOKUP(B62,Players!$A$4:$B$200,2,FALSE),""))</f>
        <v/>
      </c>
      <c r="D62" s="2"/>
      <c r="E62" s="2"/>
      <c r="F62" s="2"/>
      <c r="G62" s="3" t="str">
        <f t="shared" si="0"/>
        <v/>
      </c>
      <c r="H62" s="2"/>
      <c r="I62" s="2"/>
      <c r="J62" s="2"/>
    </row>
    <row r="63" spans="1:10">
      <c r="A63" s="2"/>
      <c r="B63" s="2"/>
      <c r="C63" s="3" t="str">
        <f>IF(B63="","",IFERROR(VLOOKUP(B63,Players!$A$4:$B$200,2,FALSE),""))</f>
        <v/>
      </c>
      <c r="D63" s="2"/>
      <c r="E63" s="2"/>
      <c r="F63" s="2"/>
      <c r="G63" s="3" t="str">
        <f t="shared" si="0"/>
        <v/>
      </c>
      <c r="H63" s="2"/>
      <c r="I63" s="2"/>
      <c r="J63" s="2"/>
    </row>
    <row r="64" spans="1:10">
      <c r="A64" s="2"/>
      <c r="B64" s="2"/>
      <c r="C64" s="3" t="str">
        <f>IF(B64="","",IFERROR(VLOOKUP(B64,Players!$A$4:$B$200,2,FALSE),""))</f>
        <v/>
      </c>
      <c r="D64" s="2"/>
      <c r="E64" s="2"/>
      <c r="F64" s="2"/>
      <c r="G64" s="3" t="str">
        <f t="shared" si="0"/>
        <v/>
      </c>
      <c r="H64" s="2"/>
      <c r="I64" s="2"/>
      <c r="J64" s="2"/>
    </row>
    <row r="65" spans="1:10">
      <c r="A65" s="2"/>
      <c r="B65" s="2"/>
      <c r="C65" s="3" t="str">
        <f>IF(B65="","",IFERROR(VLOOKUP(B65,Players!$A$4:$B$200,2,FALSE),""))</f>
        <v/>
      </c>
      <c r="D65" s="2"/>
      <c r="E65" s="2"/>
      <c r="F65" s="2"/>
      <c r="G65" s="3" t="str">
        <f t="shared" si="0"/>
        <v/>
      </c>
      <c r="H65" s="2"/>
      <c r="I65" s="2"/>
      <c r="J65" s="2"/>
    </row>
    <row r="66" spans="1:10">
      <c r="A66" s="2"/>
      <c r="B66" s="2"/>
      <c r="C66" s="3" t="str">
        <f>IF(B66="","",IFERROR(VLOOKUP(B66,Players!$A$4:$B$200,2,FALSE),""))</f>
        <v/>
      </c>
      <c r="D66" s="2"/>
      <c r="E66" s="2"/>
      <c r="F66" s="2"/>
      <c r="G66" s="3" t="str">
        <f t="shared" si="0"/>
        <v/>
      </c>
      <c r="H66" s="2"/>
      <c r="I66" s="2"/>
      <c r="J66" s="2"/>
    </row>
    <row r="67" spans="1:10">
      <c r="A67" s="2"/>
      <c r="B67" s="2"/>
      <c r="C67" s="3" t="str">
        <f>IF(B67="","",IFERROR(VLOOKUP(B67,Players!$A$4:$B$200,2,FALSE),""))</f>
        <v/>
      </c>
      <c r="D67" s="2"/>
      <c r="E67" s="2"/>
      <c r="F67" s="2"/>
      <c r="G67" s="3" t="str">
        <f t="shared" si="0"/>
        <v/>
      </c>
      <c r="H67" s="2"/>
      <c r="I67" s="2"/>
      <c r="J67" s="2"/>
    </row>
    <row r="68" spans="1:10">
      <c r="A68" s="2"/>
      <c r="B68" s="2"/>
      <c r="C68" s="3" t="str">
        <f>IF(B68="","",IFERROR(VLOOKUP(B68,Players!$A$4:$B$200,2,FALSE),""))</f>
        <v/>
      </c>
      <c r="D68" s="2"/>
      <c r="E68" s="2"/>
      <c r="F68" s="2"/>
      <c r="G68" s="3" t="str">
        <f t="shared" ref="G68:G131" si="1">IF(AND(E68="",F68=""),"",SUM(E68:F68))</f>
        <v/>
      </c>
      <c r="H68" s="2"/>
      <c r="I68" s="2"/>
      <c r="J68" s="2"/>
    </row>
    <row r="69" spans="1:10">
      <c r="A69" s="2"/>
      <c r="B69" s="2"/>
      <c r="C69" s="3" t="str">
        <f>IF(B69="","",IFERROR(VLOOKUP(B69,Players!$A$4:$B$200,2,FALSE),""))</f>
        <v/>
      </c>
      <c r="D69" s="2"/>
      <c r="E69" s="2"/>
      <c r="F69" s="2"/>
      <c r="G69" s="3" t="str">
        <f t="shared" si="1"/>
        <v/>
      </c>
      <c r="H69" s="2"/>
      <c r="I69" s="2"/>
      <c r="J69" s="2"/>
    </row>
    <row r="70" spans="1:10">
      <c r="A70" s="2"/>
      <c r="B70" s="2"/>
      <c r="C70" s="3" t="str">
        <f>IF(B70="","",IFERROR(VLOOKUP(B70,Players!$A$4:$B$200,2,FALSE),""))</f>
        <v/>
      </c>
      <c r="D70" s="2"/>
      <c r="E70" s="2"/>
      <c r="F70" s="2"/>
      <c r="G70" s="3" t="str">
        <f t="shared" si="1"/>
        <v/>
      </c>
      <c r="H70" s="2"/>
      <c r="I70" s="2"/>
      <c r="J70" s="2"/>
    </row>
    <row r="71" spans="1:10">
      <c r="A71" s="2"/>
      <c r="B71" s="2"/>
      <c r="C71" s="3" t="str">
        <f>IF(B71="","",IFERROR(VLOOKUP(B71,Players!$A$4:$B$200,2,FALSE),""))</f>
        <v/>
      </c>
      <c r="D71" s="2"/>
      <c r="E71" s="2"/>
      <c r="F71" s="2"/>
      <c r="G71" s="3" t="str">
        <f t="shared" si="1"/>
        <v/>
      </c>
      <c r="H71" s="2"/>
      <c r="I71" s="2"/>
      <c r="J71" s="2"/>
    </row>
    <row r="72" spans="1:10">
      <c r="A72" s="2"/>
      <c r="B72" s="2"/>
      <c r="C72" s="3" t="str">
        <f>IF(B72="","",IFERROR(VLOOKUP(B72,Players!$A$4:$B$200,2,FALSE),""))</f>
        <v/>
      </c>
      <c r="D72" s="2"/>
      <c r="E72" s="2"/>
      <c r="F72" s="2"/>
      <c r="G72" s="3" t="str">
        <f t="shared" si="1"/>
        <v/>
      </c>
      <c r="H72" s="2"/>
      <c r="I72" s="2"/>
      <c r="J72" s="2"/>
    </row>
    <row r="73" spans="1:10">
      <c r="A73" s="2"/>
      <c r="B73" s="2"/>
      <c r="C73" s="3" t="str">
        <f>IF(B73="","",IFERROR(VLOOKUP(B73,Players!$A$4:$B$200,2,FALSE),""))</f>
        <v/>
      </c>
      <c r="D73" s="2"/>
      <c r="E73" s="2"/>
      <c r="F73" s="2"/>
      <c r="G73" s="3" t="str">
        <f t="shared" si="1"/>
        <v/>
      </c>
      <c r="H73" s="2"/>
      <c r="I73" s="2"/>
      <c r="J73" s="2"/>
    </row>
    <row r="74" spans="1:10">
      <c r="A74" s="2"/>
      <c r="B74" s="2"/>
      <c r="C74" s="3" t="str">
        <f>IF(B74="","",IFERROR(VLOOKUP(B74,Players!$A$4:$B$200,2,FALSE),""))</f>
        <v/>
      </c>
      <c r="D74" s="2"/>
      <c r="E74" s="2"/>
      <c r="F74" s="2"/>
      <c r="G74" s="3" t="str">
        <f t="shared" si="1"/>
        <v/>
      </c>
      <c r="H74" s="2"/>
      <c r="I74" s="2"/>
      <c r="J74" s="2"/>
    </row>
    <row r="75" spans="1:10">
      <c r="A75" s="2"/>
      <c r="B75" s="2"/>
      <c r="C75" s="3" t="str">
        <f>IF(B75="","",IFERROR(VLOOKUP(B75,Players!$A$4:$B$200,2,FALSE),""))</f>
        <v/>
      </c>
      <c r="D75" s="2"/>
      <c r="E75" s="2"/>
      <c r="F75" s="2"/>
      <c r="G75" s="3" t="str">
        <f t="shared" si="1"/>
        <v/>
      </c>
      <c r="H75" s="2"/>
      <c r="I75" s="2"/>
      <c r="J75" s="2"/>
    </row>
    <row r="76" spans="1:10">
      <c r="A76" s="2"/>
      <c r="B76" s="2"/>
      <c r="C76" s="3" t="str">
        <f>IF(B76="","",IFERROR(VLOOKUP(B76,Players!$A$4:$B$200,2,FALSE),""))</f>
        <v/>
      </c>
      <c r="D76" s="2"/>
      <c r="E76" s="2"/>
      <c r="F76" s="2"/>
      <c r="G76" s="3" t="str">
        <f t="shared" si="1"/>
        <v/>
      </c>
      <c r="H76" s="2"/>
      <c r="I76" s="2"/>
      <c r="J76" s="2"/>
    </row>
    <row r="77" spans="1:10">
      <c r="A77" s="2"/>
      <c r="B77" s="2"/>
      <c r="C77" s="3" t="str">
        <f>IF(B77="","",IFERROR(VLOOKUP(B77,Players!$A$4:$B$200,2,FALSE),""))</f>
        <v/>
      </c>
      <c r="D77" s="2"/>
      <c r="E77" s="2"/>
      <c r="F77" s="2"/>
      <c r="G77" s="3" t="str">
        <f t="shared" si="1"/>
        <v/>
      </c>
      <c r="H77" s="2"/>
      <c r="I77" s="2"/>
      <c r="J77" s="2"/>
    </row>
    <row r="78" spans="1:10">
      <c r="A78" s="2"/>
      <c r="B78" s="2"/>
      <c r="C78" s="3" t="str">
        <f>IF(B78="","",IFERROR(VLOOKUP(B78,Players!$A$4:$B$200,2,FALSE),""))</f>
        <v/>
      </c>
      <c r="D78" s="2"/>
      <c r="E78" s="2"/>
      <c r="F78" s="2"/>
      <c r="G78" s="3" t="str">
        <f t="shared" si="1"/>
        <v/>
      </c>
      <c r="H78" s="2"/>
      <c r="I78" s="2"/>
      <c r="J78" s="2"/>
    </row>
    <row r="79" spans="1:10">
      <c r="A79" s="2"/>
      <c r="B79" s="2"/>
      <c r="C79" s="3" t="str">
        <f>IF(B79="","",IFERROR(VLOOKUP(B79,Players!$A$4:$B$200,2,FALSE),""))</f>
        <v/>
      </c>
      <c r="D79" s="2"/>
      <c r="E79" s="2"/>
      <c r="F79" s="2"/>
      <c r="G79" s="3" t="str">
        <f t="shared" si="1"/>
        <v/>
      </c>
      <c r="H79" s="2"/>
      <c r="I79" s="2"/>
      <c r="J79" s="2"/>
    </row>
    <row r="80" spans="1:10">
      <c r="A80" s="2"/>
      <c r="B80" s="2"/>
      <c r="C80" s="3" t="str">
        <f>IF(B80="","",IFERROR(VLOOKUP(B80,Players!$A$4:$B$200,2,FALSE),""))</f>
        <v/>
      </c>
      <c r="D80" s="2"/>
      <c r="E80" s="2"/>
      <c r="F80" s="2"/>
      <c r="G80" s="3" t="str">
        <f t="shared" si="1"/>
        <v/>
      </c>
      <c r="H80" s="2"/>
      <c r="I80" s="2"/>
      <c r="J80" s="2"/>
    </row>
    <row r="81" spans="1:10">
      <c r="A81" s="2"/>
      <c r="B81" s="2"/>
      <c r="C81" s="3" t="str">
        <f>IF(B81="","",IFERROR(VLOOKUP(B81,Players!$A$4:$B$200,2,FALSE),""))</f>
        <v/>
      </c>
      <c r="D81" s="2"/>
      <c r="E81" s="2"/>
      <c r="F81" s="2"/>
      <c r="G81" s="3" t="str">
        <f t="shared" si="1"/>
        <v/>
      </c>
      <c r="H81" s="2"/>
      <c r="I81" s="2"/>
      <c r="J81" s="2"/>
    </row>
    <row r="82" spans="1:10">
      <c r="A82" s="2"/>
      <c r="B82" s="2"/>
      <c r="C82" s="3" t="str">
        <f>IF(B82="","",IFERROR(VLOOKUP(B82,Players!$A$4:$B$200,2,FALSE),""))</f>
        <v/>
      </c>
      <c r="D82" s="2"/>
      <c r="E82" s="2"/>
      <c r="F82" s="2"/>
      <c r="G82" s="3" t="str">
        <f t="shared" si="1"/>
        <v/>
      </c>
      <c r="H82" s="2"/>
      <c r="I82" s="2"/>
      <c r="J82" s="2"/>
    </row>
    <row r="83" spans="1:10">
      <c r="A83" s="2"/>
      <c r="B83" s="2"/>
      <c r="C83" s="3" t="str">
        <f>IF(B83="","",IFERROR(VLOOKUP(B83,Players!$A$4:$B$200,2,FALSE),""))</f>
        <v/>
      </c>
      <c r="D83" s="2"/>
      <c r="E83" s="2"/>
      <c r="F83" s="2"/>
      <c r="G83" s="3" t="str">
        <f t="shared" si="1"/>
        <v/>
      </c>
      <c r="H83" s="2"/>
      <c r="I83" s="2"/>
      <c r="J83" s="2"/>
    </row>
    <row r="84" spans="1:10">
      <c r="A84" s="2"/>
      <c r="B84" s="2"/>
      <c r="C84" s="3" t="str">
        <f>IF(B84="","",IFERROR(VLOOKUP(B84,Players!$A$4:$B$200,2,FALSE),""))</f>
        <v/>
      </c>
      <c r="D84" s="2"/>
      <c r="E84" s="2"/>
      <c r="F84" s="2"/>
      <c r="G84" s="3" t="str">
        <f t="shared" si="1"/>
        <v/>
      </c>
      <c r="H84" s="2"/>
      <c r="I84" s="2"/>
      <c r="J84" s="2"/>
    </row>
    <row r="85" spans="1:10">
      <c r="A85" s="2"/>
      <c r="B85" s="2"/>
      <c r="C85" s="3" t="str">
        <f>IF(B85="","",IFERROR(VLOOKUP(B85,Players!$A$4:$B$200,2,FALSE),""))</f>
        <v/>
      </c>
      <c r="D85" s="2"/>
      <c r="E85" s="2"/>
      <c r="F85" s="2"/>
      <c r="G85" s="3" t="str">
        <f t="shared" si="1"/>
        <v/>
      </c>
      <c r="H85" s="2"/>
      <c r="I85" s="2"/>
      <c r="J85" s="2"/>
    </row>
    <row r="86" spans="1:10">
      <c r="A86" s="2"/>
      <c r="B86" s="2"/>
      <c r="C86" s="3" t="str">
        <f>IF(B86="","",IFERROR(VLOOKUP(B86,Players!$A$4:$B$200,2,FALSE),""))</f>
        <v/>
      </c>
      <c r="D86" s="2"/>
      <c r="E86" s="2"/>
      <c r="F86" s="2"/>
      <c r="G86" s="3" t="str">
        <f t="shared" si="1"/>
        <v/>
      </c>
      <c r="H86" s="2"/>
      <c r="I86" s="2"/>
      <c r="J86" s="2"/>
    </row>
    <row r="87" spans="1:10">
      <c r="A87" s="2"/>
      <c r="B87" s="2"/>
      <c r="C87" s="3" t="str">
        <f>IF(B87="","",IFERROR(VLOOKUP(B87,Players!$A$4:$B$200,2,FALSE),""))</f>
        <v/>
      </c>
      <c r="D87" s="2"/>
      <c r="E87" s="2"/>
      <c r="F87" s="2"/>
      <c r="G87" s="3" t="str">
        <f t="shared" si="1"/>
        <v/>
      </c>
      <c r="H87" s="2"/>
      <c r="I87" s="2"/>
      <c r="J87" s="2"/>
    </row>
    <row r="88" spans="1:10">
      <c r="A88" s="2"/>
      <c r="B88" s="2"/>
      <c r="C88" s="3" t="str">
        <f>IF(B88="","",IFERROR(VLOOKUP(B88,Players!$A$4:$B$200,2,FALSE),""))</f>
        <v/>
      </c>
      <c r="D88" s="2"/>
      <c r="E88" s="2"/>
      <c r="F88" s="2"/>
      <c r="G88" s="3" t="str">
        <f t="shared" si="1"/>
        <v/>
      </c>
      <c r="H88" s="2"/>
      <c r="I88" s="2"/>
      <c r="J88" s="2"/>
    </row>
    <row r="89" spans="1:10">
      <c r="A89" s="2"/>
      <c r="B89" s="2"/>
      <c r="C89" s="3" t="str">
        <f>IF(B89="","",IFERROR(VLOOKUP(B89,Players!$A$4:$B$200,2,FALSE),""))</f>
        <v/>
      </c>
      <c r="D89" s="2"/>
      <c r="E89" s="2"/>
      <c r="F89" s="2"/>
      <c r="G89" s="3" t="str">
        <f t="shared" si="1"/>
        <v/>
      </c>
      <c r="H89" s="2"/>
      <c r="I89" s="2"/>
      <c r="J89" s="2"/>
    </row>
    <row r="90" spans="1:10">
      <c r="A90" s="2"/>
      <c r="B90" s="2"/>
      <c r="C90" s="3" t="str">
        <f>IF(B90="","",IFERROR(VLOOKUP(B90,Players!$A$4:$B$200,2,FALSE),""))</f>
        <v/>
      </c>
      <c r="D90" s="2"/>
      <c r="E90" s="2"/>
      <c r="F90" s="2"/>
      <c r="G90" s="3" t="str">
        <f t="shared" si="1"/>
        <v/>
      </c>
      <c r="H90" s="2"/>
      <c r="I90" s="2"/>
      <c r="J90" s="2"/>
    </row>
    <row r="91" spans="1:10">
      <c r="A91" s="2"/>
      <c r="B91" s="2"/>
      <c r="C91" s="3" t="str">
        <f>IF(B91="","",IFERROR(VLOOKUP(B91,Players!$A$4:$B$200,2,FALSE),""))</f>
        <v/>
      </c>
      <c r="D91" s="2"/>
      <c r="E91" s="2"/>
      <c r="F91" s="2"/>
      <c r="G91" s="3" t="str">
        <f t="shared" si="1"/>
        <v/>
      </c>
      <c r="H91" s="2"/>
      <c r="I91" s="2"/>
      <c r="J91" s="2"/>
    </row>
    <row r="92" spans="1:10">
      <c r="A92" s="2"/>
      <c r="B92" s="2"/>
      <c r="C92" s="3" t="str">
        <f>IF(B92="","",IFERROR(VLOOKUP(B92,Players!$A$4:$B$200,2,FALSE),""))</f>
        <v/>
      </c>
      <c r="D92" s="2"/>
      <c r="E92" s="2"/>
      <c r="F92" s="2"/>
      <c r="G92" s="3" t="str">
        <f t="shared" si="1"/>
        <v/>
      </c>
      <c r="H92" s="2"/>
      <c r="I92" s="2"/>
      <c r="J92" s="2"/>
    </row>
    <row r="93" spans="1:10">
      <c r="A93" s="2"/>
      <c r="B93" s="2"/>
      <c r="C93" s="3" t="str">
        <f>IF(B93="","",IFERROR(VLOOKUP(B93,Players!$A$4:$B$200,2,FALSE),""))</f>
        <v/>
      </c>
      <c r="D93" s="2"/>
      <c r="E93" s="2"/>
      <c r="F93" s="2"/>
      <c r="G93" s="3" t="str">
        <f t="shared" si="1"/>
        <v/>
      </c>
      <c r="H93" s="2"/>
      <c r="I93" s="2"/>
      <c r="J93" s="2"/>
    </row>
    <row r="94" spans="1:10">
      <c r="A94" s="2"/>
      <c r="B94" s="2"/>
      <c r="C94" s="3" t="str">
        <f>IF(B94="","",IFERROR(VLOOKUP(B94,Players!$A$4:$B$200,2,FALSE),""))</f>
        <v/>
      </c>
      <c r="D94" s="2"/>
      <c r="E94" s="2"/>
      <c r="F94" s="2"/>
      <c r="G94" s="3" t="str">
        <f t="shared" si="1"/>
        <v/>
      </c>
      <c r="H94" s="2"/>
      <c r="I94" s="2"/>
      <c r="J94" s="2"/>
    </row>
    <row r="95" spans="1:10">
      <c r="A95" s="2"/>
      <c r="B95" s="2"/>
      <c r="C95" s="3" t="str">
        <f>IF(B95="","",IFERROR(VLOOKUP(B95,Players!$A$4:$B$200,2,FALSE),""))</f>
        <v/>
      </c>
      <c r="D95" s="2"/>
      <c r="E95" s="2"/>
      <c r="F95" s="2"/>
      <c r="G95" s="3" t="str">
        <f t="shared" si="1"/>
        <v/>
      </c>
      <c r="H95" s="2"/>
      <c r="I95" s="2"/>
      <c r="J95" s="2"/>
    </row>
    <row r="96" spans="1:10">
      <c r="A96" s="2"/>
      <c r="B96" s="2"/>
      <c r="C96" s="3" t="str">
        <f>IF(B96="","",IFERROR(VLOOKUP(B96,Players!$A$4:$B$200,2,FALSE),""))</f>
        <v/>
      </c>
      <c r="D96" s="2"/>
      <c r="E96" s="2"/>
      <c r="F96" s="2"/>
      <c r="G96" s="3" t="str">
        <f t="shared" si="1"/>
        <v/>
      </c>
      <c r="H96" s="2"/>
      <c r="I96" s="2"/>
      <c r="J96" s="2"/>
    </row>
    <row r="97" spans="1:10">
      <c r="A97" s="2"/>
      <c r="B97" s="2"/>
      <c r="C97" s="3" t="str">
        <f>IF(B97="","",IFERROR(VLOOKUP(B97,Players!$A$4:$B$200,2,FALSE),""))</f>
        <v/>
      </c>
      <c r="D97" s="2"/>
      <c r="E97" s="2"/>
      <c r="F97" s="2"/>
      <c r="G97" s="3" t="str">
        <f t="shared" si="1"/>
        <v/>
      </c>
      <c r="H97" s="2"/>
      <c r="I97" s="2"/>
      <c r="J97" s="2"/>
    </row>
    <row r="98" spans="1:10">
      <c r="A98" s="2"/>
      <c r="B98" s="2"/>
      <c r="C98" s="3" t="str">
        <f>IF(B98="","",IFERROR(VLOOKUP(B98,Players!$A$4:$B$200,2,FALSE),""))</f>
        <v/>
      </c>
      <c r="D98" s="2"/>
      <c r="E98" s="2"/>
      <c r="F98" s="2"/>
      <c r="G98" s="3" t="str">
        <f t="shared" si="1"/>
        <v/>
      </c>
      <c r="H98" s="2"/>
      <c r="I98" s="2"/>
      <c r="J98" s="2"/>
    </row>
    <row r="99" spans="1:10">
      <c r="A99" s="2"/>
      <c r="B99" s="2"/>
      <c r="C99" s="3" t="str">
        <f>IF(B99="","",IFERROR(VLOOKUP(B99,Players!$A$4:$B$200,2,FALSE),""))</f>
        <v/>
      </c>
      <c r="D99" s="2"/>
      <c r="E99" s="2"/>
      <c r="F99" s="2"/>
      <c r="G99" s="3" t="str">
        <f t="shared" si="1"/>
        <v/>
      </c>
      <c r="H99" s="2"/>
      <c r="I99" s="2"/>
      <c r="J99" s="2"/>
    </row>
    <row r="100" spans="1:10">
      <c r="A100" s="2"/>
      <c r="B100" s="2"/>
      <c r="C100" s="3" t="str">
        <f>IF(B100="","",IFERROR(VLOOKUP(B100,Players!$A$4:$B$200,2,FALSE),""))</f>
        <v/>
      </c>
      <c r="D100" s="2"/>
      <c r="E100" s="2"/>
      <c r="F100" s="2"/>
      <c r="G100" s="3" t="str">
        <f t="shared" si="1"/>
        <v/>
      </c>
      <c r="H100" s="2"/>
      <c r="I100" s="2"/>
      <c r="J100" s="2"/>
    </row>
    <row r="101" spans="1:10">
      <c r="A101" s="2"/>
      <c r="B101" s="2"/>
      <c r="C101" s="3" t="str">
        <f>IF(B101="","",IFERROR(VLOOKUP(B101,Players!$A$4:$B$200,2,FALSE),""))</f>
        <v/>
      </c>
      <c r="D101" s="2"/>
      <c r="E101" s="2"/>
      <c r="F101" s="2"/>
      <c r="G101" s="3" t="str">
        <f t="shared" si="1"/>
        <v/>
      </c>
      <c r="H101" s="2"/>
      <c r="I101" s="2"/>
      <c r="J101" s="2"/>
    </row>
    <row r="102" spans="1:10">
      <c r="A102" s="2"/>
      <c r="B102" s="2"/>
      <c r="C102" s="3" t="str">
        <f>IF(B102="","",IFERROR(VLOOKUP(B102,Players!$A$4:$B$200,2,FALSE),""))</f>
        <v/>
      </c>
      <c r="D102" s="2"/>
      <c r="E102" s="2"/>
      <c r="F102" s="2"/>
      <c r="G102" s="3" t="str">
        <f t="shared" si="1"/>
        <v/>
      </c>
      <c r="H102" s="2"/>
      <c r="I102" s="2"/>
      <c r="J102" s="2"/>
    </row>
    <row r="103" spans="1:10">
      <c r="A103" s="2"/>
      <c r="B103" s="2"/>
      <c r="C103" s="3" t="str">
        <f>IF(B103="","",IFERROR(VLOOKUP(B103,Players!$A$4:$B$200,2,FALSE),""))</f>
        <v/>
      </c>
      <c r="D103" s="2"/>
      <c r="E103" s="2"/>
      <c r="F103" s="2"/>
      <c r="G103" s="3" t="str">
        <f t="shared" si="1"/>
        <v/>
      </c>
      <c r="H103" s="2"/>
      <c r="I103" s="2"/>
      <c r="J103" s="2"/>
    </row>
    <row r="104" spans="1:10">
      <c r="A104" s="2"/>
      <c r="B104" s="2"/>
      <c r="C104" s="3" t="str">
        <f>IF(B104="","",IFERROR(VLOOKUP(B104,Players!$A$4:$B$200,2,FALSE),""))</f>
        <v/>
      </c>
      <c r="D104" s="2"/>
      <c r="E104" s="2"/>
      <c r="F104" s="2"/>
      <c r="G104" s="3" t="str">
        <f t="shared" si="1"/>
        <v/>
      </c>
      <c r="H104" s="2"/>
      <c r="I104" s="2"/>
      <c r="J104" s="2"/>
    </row>
    <row r="105" spans="1:10">
      <c r="A105" s="2"/>
      <c r="B105" s="2"/>
      <c r="C105" s="3" t="str">
        <f>IF(B105="","",IFERROR(VLOOKUP(B105,Players!$A$4:$B$200,2,FALSE),""))</f>
        <v/>
      </c>
      <c r="D105" s="2"/>
      <c r="E105" s="2"/>
      <c r="F105" s="2"/>
      <c r="G105" s="3" t="str">
        <f t="shared" si="1"/>
        <v/>
      </c>
      <c r="H105" s="2"/>
      <c r="I105" s="2"/>
      <c r="J105" s="2"/>
    </row>
    <row r="106" spans="1:10">
      <c r="A106" s="2"/>
      <c r="B106" s="2"/>
      <c r="C106" s="3" t="str">
        <f>IF(B106="","",IFERROR(VLOOKUP(B106,Players!$A$4:$B$200,2,FALSE),""))</f>
        <v/>
      </c>
      <c r="D106" s="2"/>
      <c r="E106" s="2"/>
      <c r="F106" s="2"/>
      <c r="G106" s="3" t="str">
        <f t="shared" si="1"/>
        <v/>
      </c>
      <c r="H106" s="2"/>
      <c r="I106" s="2"/>
      <c r="J106" s="2"/>
    </row>
    <row r="107" spans="1:10">
      <c r="A107" s="2"/>
      <c r="B107" s="2"/>
      <c r="C107" s="3" t="str">
        <f>IF(B107="","",IFERROR(VLOOKUP(B107,Players!$A$4:$B$200,2,FALSE),""))</f>
        <v/>
      </c>
      <c r="D107" s="2"/>
      <c r="E107" s="2"/>
      <c r="F107" s="2"/>
      <c r="G107" s="3" t="str">
        <f t="shared" si="1"/>
        <v/>
      </c>
      <c r="H107" s="2"/>
      <c r="I107" s="2"/>
      <c r="J107" s="2"/>
    </row>
    <row r="108" spans="1:10">
      <c r="A108" s="2"/>
      <c r="B108" s="2"/>
      <c r="C108" s="3" t="str">
        <f>IF(B108="","",IFERROR(VLOOKUP(B108,Players!$A$4:$B$200,2,FALSE),""))</f>
        <v/>
      </c>
      <c r="D108" s="2"/>
      <c r="E108" s="2"/>
      <c r="F108" s="2"/>
      <c r="G108" s="3" t="str">
        <f t="shared" si="1"/>
        <v/>
      </c>
      <c r="H108" s="2"/>
      <c r="I108" s="2"/>
      <c r="J108" s="2"/>
    </row>
    <row r="109" spans="1:10">
      <c r="A109" s="2"/>
      <c r="B109" s="2"/>
      <c r="C109" s="3" t="str">
        <f>IF(B109="","",IFERROR(VLOOKUP(B109,Players!$A$4:$B$200,2,FALSE),""))</f>
        <v/>
      </c>
      <c r="D109" s="2"/>
      <c r="E109" s="2"/>
      <c r="F109" s="2"/>
      <c r="G109" s="3" t="str">
        <f t="shared" si="1"/>
        <v/>
      </c>
      <c r="H109" s="2"/>
      <c r="I109" s="2"/>
      <c r="J109" s="2"/>
    </row>
    <row r="110" spans="1:10">
      <c r="A110" s="2"/>
      <c r="B110" s="2"/>
      <c r="C110" s="3" t="str">
        <f>IF(B110="","",IFERROR(VLOOKUP(B110,Players!$A$4:$B$200,2,FALSE),""))</f>
        <v/>
      </c>
      <c r="D110" s="2"/>
      <c r="E110" s="2"/>
      <c r="F110" s="2"/>
      <c r="G110" s="3" t="str">
        <f t="shared" si="1"/>
        <v/>
      </c>
      <c r="H110" s="2"/>
      <c r="I110" s="2"/>
      <c r="J110" s="2"/>
    </row>
    <row r="111" spans="1:10">
      <c r="A111" s="2"/>
      <c r="B111" s="2"/>
      <c r="C111" s="3" t="str">
        <f>IF(B111="","",IFERROR(VLOOKUP(B111,Players!$A$4:$B$200,2,FALSE),""))</f>
        <v/>
      </c>
      <c r="D111" s="2"/>
      <c r="E111" s="2"/>
      <c r="F111" s="2"/>
      <c r="G111" s="3" t="str">
        <f t="shared" si="1"/>
        <v/>
      </c>
      <c r="H111" s="2"/>
      <c r="I111" s="2"/>
      <c r="J111" s="2"/>
    </row>
    <row r="112" spans="1:10">
      <c r="A112" s="2"/>
      <c r="B112" s="2"/>
      <c r="C112" s="3" t="str">
        <f>IF(B112="","",IFERROR(VLOOKUP(B112,Players!$A$4:$B$200,2,FALSE),""))</f>
        <v/>
      </c>
      <c r="D112" s="2"/>
      <c r="E112" s="2"/>
      <c r="F112" s="2"/>
      <c r="G112" s="3" t="str">
        <f t="shared" si="1"/>
        <v/>
      </c>
      <c r="H112" s="2"/>
      <c r="I112" s="2"/>
      <c r="J112" s="2"/>
    </row>
    <row r="113" spans="1:10">
      <c r="A113" s="2"/>
      <c r="B113" s="2"/>
      <c r="C113" s="3" t="str">
        <f>IF(B113="","",IFERROR(VLOOKUP(B113,Players!$A$4:$B$200,2,FALSE),""))</f>
        <v/>
      </c>
      <c r="D113" s="2"/>
      <c r="E113" s="2"/>
      <c r="F113" s="2"/>
      <c r="G113" s="3" t="str">
        <f t="shared" si="1"/>
        <v/>
      </c>
      <c r="H113" s="2"/>
      <c r="I113" s="2"/>
      <c r="J113" s="2"/>
    </row>
    <row r="114" spans="1:10">
      <c r="A114" s="2"/>
      <c r="B114" s="2"/>
      <c r="C114" s="3" t="str">
        <f>IF(B114="","",IFERROR(VLOOKUP(B114,Players!$A$4:$B$200,2,FALSE),""))</f>
        <v/>
      </c>
      <c r="D114" s="2"/>
      <c r="E114" s="2"/>
      <c r="F114" s="2"/>
      <c r="G114" s="3" t="str">
        <f t="shared" si="1"/>
        <v/>
      </c>
      <c r="H114" s="2"/>
      <c r="I114" s="2"/>
      <c r="J114" s="2"/>
    </row>
    <row r="115" spans="1:10">
      <c r="A115" s="2"/>
      <c r="B115" s="2"/>
      <c r="C115" s="3" t="str">
        <f>IF(B115="","",IFERROR(VLOOKUP(B115,Players!$A$4:$B$200,2,FALSE),""))</f>
        <v/>
      </c>
      <c r="D115" s="2"/>
      <c r="E115" s="2"/>
      <c r="F115" s="2"/>
      <c r="G115" s="3" t="str">
        <f t="shared" si="1"/>
        <v/>
      </c>
      <c r="H115" s="2"/>
      <c r="I115" s="2"/>
      <c r="J115" s="2"/>
    </row>
    <row r="116" spans="1:10">
      <c r="A116" s="2"/>
      <c r="B116" s="2"/>
      <c r="C116" s="3" t="str">
        <f>IF(B116="","",IFERROR(VLOOKUP(B116,Players!$A$4:$B$200,2,FALSE),""))</f>
        <v/>
      </c>
      <c r="D116" s="2"/>
      <c r="E116" s="2"/>
      <c r="F116" s="2"/>
      <c r="G116" s="3" t="str">
        <f t="shared" si="1"/>
        <v/>
      </c>
      <c r="H116" s="2"/>
      <c r="I116" s="2"/>
      <c r="J116" s="2"/>
    </row>
    <row r="117" spans="1:10">
      <c r="A117" s="2"/>
      <c r="B117" s="2"/>
      <c r="C117" s="3" t="str">
        <f>IF(B117="","",IFERROR(VLOOKUP(B117,Players!$A$4:$B$200,2,FALSE),""))</f>
        <v/>
      </c>
      <c r="D117" s="2"/>
      <c r="E117" s="2"/>
      <c r="F117" s="2"/>
      <c r="G117" s="3" t="str">
        <f t="shared" si="1"/>
        <v/>
      </c>
      <c r="H117" s="2"/>
      <c r="I117" s="2"/>
      <c r="J117" s="2"/>
    </row>
    <row r="118" spans="1:10">
      <c r="A118" s="2"/>
      <c r="B118" s="2"/>
      <c r="C118" s="3" t="str">
        <f>IF(B118="","",IFERROR(VLOOKUP(B118,Players!$A$4:$B$200,2,FALSE),""))</f>
        <v/>
      </c>
      <c r="D118" s="2"/>
      <c r="E118" s="2"/>
      <c r="F118" s="2"/>
      <c r="G118" s="3" t="str">
        <f t="shared" si="1"/>
        <v/>
      </c>
      <c r="H118" s="2"/>
      <c r="I118" s="2"/>
      <c r="J118" s="2"/>
    </row>
    <row r="119" spans="1:10">
      <c r="A119" s="2"/>
      <c r="B119" s="2"/>
      <c r="C119" s="3" t="str">
        <f>IF(B119="","",IFERROR(VLOOKUP(B119,Players!$A$4:$B$200,2,FALSE),""))</f>
        <v/>
      </c>
      <c r="D119" s="2"/>
      <c r="E119" s="2"/>
      <c r="F119" s="2"/>
      <c r="G119" s="3" t="str">
        <f t="shared" si="1"/>
        <v/>
      </c>
      <c r="H119" s="2"/>
      <c r="I119" s="2"/>
      <c r="J119" s="2"/>
    </row>
    <row r="120" spans="1:10">
      <c r="A120" s="2"/>
      <c r="B120" s="2"/>
      <c r="C120" s="3" t="str">
        <f>IF(B120="","",IFERROR(VLOOKUP(B120,Players!$A$4:$B$200,2,FALSE),""))</f>
        <v/>
      </c>
      <c r="D120" s="2"/>
      <c r="E120" s="2"/>
      <c r="F120" s="2"/>
      <c r="G120" s="3" t="str">
        <f t="shared" si="1"/>
        <v/>
      </c>
      <c r="H120" s="2"/>
      <c r="I120" s="2"/>
      <c r="J120" s="2"/>
    </row>
    <row r="121" spans="1:10">
      <c r="A121" s="2"/>
      <c r="B121" s="2"/>
      <c r="C121" s="3" t="str">
        <f>IF(B121="","",IFERROR(VLOOKUP(B121,Players!$A$4:$B$200,2,FALSE),""))</f>
        <v/>
      </c>
      <c r="D121" s="2"/>
      <c r="E121" s="2"/>
      <c r="F121" s="2"/>
      <c r="G121" s="3" t="str">
        <f t="shared" si="1"/>
        <v/>
      </c>
      <c r="H121" s="2"/>
      <c r="I121" s="2"/>
      <c r="J121" s="2"/>
    </row>
    <row r="122" spans="1:10">
      <c r="A122" s="2"/>
      <c r="B122" s="2"/>
      <c r="C122" s="3" t="str">
        <f>IF(B122="","",IFERROR(VLOOKUP(B122,Players!$A$4:$B$200,2,FALSE),""))</f>
        <v/>
      </c>
      <c r="D122" s="2"/>
      <c r="E122" s="2"/>
      <c r="F122" s="2"/>
      <c r="G122" s="3" t="str">
        <f t="shared" si="1"/>
        <v/>
      </c>
      <c r="H122" s="2"/>
      <c r="I122" s="2"/>
      <c r="J122" s="2"/>
    </row>
    <row r="123" spans="1:10">
      <c r="A123" s="2"/>
      <c r="B123" s="2"/>
      <c r="C123" s="3" t="str">
        <f>IF(B123="","",IFERROR(VLOOKUP(B123,Players!$A$4:$B$200,2,FALSE),""))</f>
        <v/>
      </c>
      <c r="D123" s="2"/>
      <c r="E123" s="2"/>
      <c r="F123" s="2"/>
      <c r="G123" s="3" t="str">
        <f t="shared" si="1"/>
        <v/>
      </c>
      <c r="H123" s="2"/>
      <c r="I123" s="2"/>
      <c r="J123" s="2"/>
    </row>
    <row r="124" spans="1:10">
      <c r="A124" s="2"/>
      <c r="B124" s="2"/>
      <c r="C124" s="3" t="str">
        <f>IF(B124="","",IFERROR(VLOOKUP(B124,Players!$A$4:$B$200,2,FALSE),""))</f>
        <v/>
      </c>
      <c r="D124" s="2"/>
      <c r="E124" s="2"/>
      <c r="F124" s="2"/>
      <c r="G124" s="3" t="str">
        <f t="shared" si="1"/>
        <v/>
      </c>
      <c r="H124" s="2"/>
      <c r="I124" s="2"/>
      <c r="J124" s="2"/>
    </row>
    <row r="125" spans="1:10">
      <c r="A125" s="2"/>
      <c r="B125" s="2"/>
      <c r="C125" s="3" t="str">
        <f>IF(B125="","",IFERROR(VLOOKUP(B125,Players!$A$4:$B$200,2,FALSE),""))</f>
        <v/>
      </c>
      <c r="D125" s="2"/>
      <c r="E125" s="2"/>
      <c r="F125" s="2"/>
      <c r="G125" s="3" t="str">
        <f t="shared" si="1"/>
        <v/>
      </c>
      <c r="H125" s="2"/>
      <c r="I125" s="2"/>
      <c r="J125" s="2"/>
    </row>
    <row r="126" spans="1:10">
      <c r="A126" s="2"/>
      <c r="B126" s="2"/>
      <c r="C126" s="3" t="str">
        <f>IF(B126="","",IFERROR(VLOOKUP(B126,Players!$A$4:$B$200,2,FALSE),""))</f>
        <v/>
      </c>
      <c r="D126" s="2"/>
      <c r="E126" s="2"/>
      <c r="F126" s="2"/>
      <c r="G126" s="3" t="str">
        <f t="shared" si="1"/>
        <v/>
      </c>
      <c r="H126" s="2"/>
      <c r="I126" s="2"/>
      <c r="J126" s="2"/>
    </row>
    <row r="127" spans="1:10">
      <c r="A127" s="2"/>
      <c r="B127" s="2"/>
      <c r="C127" s="3" t="str">
        <f>IF(B127="","",IFERROR(VLOOKUP(B127,Players!$A$4:$B$200,2,FALSE),""))</f>
        <v/>
      </c>
      <c r="D127" s="2"/>
      <c r="E127" s="2"/>
      <c r="F127" s="2"/>
      <c r="G127" s="3" t="str">
        <f t="shared" si="1"/>
        <v/>
      </c>
      <c r="H127" s="2"/>
      <c r="I127" s="2"/>
      <c r="J127" s="2"/>
    </row>
    <row r="128" spans="1:10">
      <c r="A128" s="2"/>
      <c r="B128" s="2"/>
      <c r="C128" s="3" t="str">
        <f>IF(B128="","",IFERROR(VLOOKUP(B128,Players!$A$4:$B$200,2,FALSE),""))</f>
        <v/>
      </c>
      <c r="D128" s="2"/>
      <c r="E128" s="2"/>
      <c r="F128" s="2"/>
      <c r="G128" s="3" t="str">
        <f t="shared" si="1"/>
        <v/>
      </c>
      <c r="H128" s="2"/>
      <c r="I128" s="2"/>
      <c r="J128" s="2"/>
    </row>
    <row r="129" spans="1:10">
      <c r="A129" s="2"/>
      <c r="B129" s="2"/>
      <c r="C129" s="3" t="str">
        <f>IF(B129="","",IFERROR(VLOOKUP(B129,Players!$A$4:$B$200,2,FALSE),""))</f>
        <v/>
      </c>
      <c r="D129" s="2"/>
      <c r="E129" s="2"/>
      <c r="F129" s="2"/>
      <c r="G129" s="3" t="str">
        <f t="shared" si="1"/>
        <v/>
      </c>
      <c r="H129" s="2"/>
      <c r="I129" s="2"/>
      <c r="J129" s="2"/>
    </row>
    <row r="130" spans="1:10">
      <c r="A130" s="2"/>
      <c r="B130" s="2"/>
      <c r="C130" s="3" t="str">
        <f>IF(B130="","",IFERROR(VLOOKUP(B130,Players!$A$4:$B$200,2,FALSE),""))</f>
        <v/>
      </c>
      <c r="D130" s="2"/>
      <c r="E130" s="2"/>
      <c r="F130" s="2"/>
      <c r="G130" s="3" t="str">
        <f t="shared" si="1"/>
        <v/>
      </c>
      <c r="H130" s="2"/>
      <c r="I130" s="2"/>
      <c r="J130" s="2"/>
    </row>
    <row r="131" spans="1:10">
      <c r="A131" s="2"/>
      <c r="B131" s="2"/>
      <c r="C131" s="3" t="str">
        <f>IF(B131="","",IFERROR(VLOOKUP(B131,Players!$A$4:$B$200,2,FALSE),""))</f>
        <v/>
      </c>
      <c r="D131" s="2"/>
      <c r="E131" s="2"/>
      <c r="F131" s="2"/>
      <c r="G131" s="3" t="str">
        <f t="shared" si="1"/>
        <v/>
      </c>
      <c r="H131" s="2"/>
      <c r="I131" s="2"/>
      <c r="J131" s="2"/>
    </row>
    <row r="132" spans="1:10">
      <c r="A132" s="2"/>
      <c r="B132" s="2"/>
      <c r="C132" s="3" t="str">
        <f>IF(B132="","",IFERROR(VLOOKUP(B132,Players!$A$4:$B$200,2,FALSE),""))</f>
        <v/>
      </c>
      <c r="D132" s="2"/>
      <c r="E132" s="2"/>
      <c r="F132" s="2"/>
      <c r="G132" s="3" t="str">
        <f t="shared" ref="G132:G195" si="2">IF(AND(E132="",F132=""),"",SUM(E132:F132))</f>
        <v/>
      </c>
      <c r="H132" s="2"/>
      <c r="I132" s="2"/>
      <c r="J132" s="2"/>
    </row>
    <row r="133" spans="1:10">
      <c r="A133" s="2"/>
      <c r="B133" s="2"/>
      <c r="C133" s="3" t="str">
        <f>IF(B133="","",IFERROR(VLOOKUP(B133,Players!$A$4:$B$200,2,FALSE),""))</f>
        <v/>
      </c>
      <c r="D133" s="2"/>
      <c r="E133" s="2"/>
      <c r="F133" s="2"/>
      <c r="G133" s="3" t="str">
        <f t="shared" si="2"/>
        <v/>
      </c>
      <c r="H133" s="2"/>
      <c r="I133" s="2"/>
      <c r="J133" s="2"/>
    </row>
    <row r="134" spans="1:10">
      <c r="A134" s="2"/>
      <c r="B134" s="2"/>
      <c r="C134" s="3" t="str">
        <f>IF(B134="","",IFERROR(VLOOKUP(B134,Players!$A$4:$B$200,2,FALSE),""))</f>
        <v/>
      </c>
      <c r="D134" s="2"/>
      <c r="E134" s="2"/>
      <c r="F134" s="2"/>
      <c r="G134" s="3" t="str">
        <f t="shared" si="2"/>
        <v/>
      </c>
      <c r="H134" s="2"/>
      <c r="I134" s="2"/>
      <c r="J134" s="2"/>
    </row>
    <row r="135" spans="1:10">
      <c r="A135" s="2"/>
      <c r="B135" s="2"/>
      <c r="C135" s="3" t="str">
        <f>IF(B135="","",IFERROR(VLOOKUP(B135,Players!$A$4:$B$200,2,FALSE),""))</f>
        <v/>
      </c>
      <c r="D135" s="2"/>
      <c r="E135" s="2"/>
      <c r="F135" s="2"/>
      <c r="G135" s="3" t="str">
        <f t="shared" si="2"/>
        <v/>
      </c>
      <c r="H135" s="2"/>
      <c r="I135" s="2"/>
      <c r="J135" s="2"/>
    </row>
    <row r="136" spans="1:10">
      <c r="A136" s="2"/>
      <c r="B136" s="2"/>
      <c r="C136" s="3" t="str">
        <f>IF(B136="","",IFERROR(VLOOKUP(B136,Players!$A$4:$B$200,2,FALSE),""))</f>
        <v/>
      </c>
      <c r="D136" s="2"/>
      <c r="E136" s="2"/>
      <c r="F136" s="2"/>
      <c r="G136" s="3" t="str">
        <f t="shared" si="2"/>
        <v/>
      </c>
      <c r="H136" s="2"/>
      <c r="I136" s="2"/>
      <c r="J136" s="2"/>
    </row>
    <row r="137" spans="1:10">
      <c r="A137" s="2"/>
      <c r="B137" s="2"/>
      <c r="C137" s="3" t="str">
        <f>IF(B137="","",IFERROR(VLOOKUP(B137,Players!$A$4:$B$200,2,FALSE),""))</f>
        <v/>
      </c>
      <c r="D137" s="2"/>
      <c r="E137" s="2"/>
      <c r="F137" s="2"/>
      <c r="G137" s="3" t="str">
        <f t="shared" si="2"/>
        <v/>
      </c>
      <c r="H137" s="2"/>
      <c r="I137" s="2"/>
      <c r="J137" s="2"/>
    </row>
    <row r="138" spans="1:10">
      <c r="A138" s="2"/>
      <c r="B138" s="2"/>
      <c r="C138" s="3" t="str">
        <f>IF(B138="","",IFERROR(VLOOKUP(B138,Players!$A$4:$B$200,2,FALSE),""))</f>
        <v/>
      </c>
      <c r="D138" s="2"/>
      <c r="E138" s="2"/>
      <c r="F138" s="2"/>
      <c r="G138" s="3" t="str">
        <f t="shared" si="2"/>
        <v/>
      </c>
      <c r="H138" s="2"/>
      <c r="I138" s="2"/>
      <c r="J138" s="2"/>
    </row>
    <row r="139" spans="1:10">
      <c r="A139" s="2"/>
      <c r="B139" s="2"/>
      <c r="C139" s="3" t="str">
        <f>IF(B139="","",IFERROR(VLOOKUP(B139,Players!$A$4:$B$200,2,FALSE),""))</f>
        <v/>
      </c>
      <c r="D139" s="2"/>
      <c r="E139" s="2"/>
      <c r="F139" s="2"/>
      <c r="G139" s="3" t="str">
        <f t="shared" si="2"/>
        <v/>
      </c>
      <c r="H139" s="2"/>
      <c r="I139" s="2"/>
      <c r="J139" s="2"/>
    </row>
    <row r="140" spans="1:10">
      <c r="A140" s="2"/>
      <c r="B140" s="2"/>
      <c r="C140" s="3" t="str">
        <f>IF(B140="","",IFERROR(VLOOKUP(B140,Players!$A$4:$B$200,2,FALSE),""))</f>
        <v/>
      </c>
      <c r="D140" s="2"/>
      <c r="E140" s="2"/>
      <c r="F140" s="2"/>
      <c r="G140" s="3" t="str">
        <f t="shared" si="2"/>
        <v/>
      </c>
      <c r="H140" s="2"/>
      <c r="I140" s="2"/>
      <c r="J140" s="2"/>
    </row>
    <row r="141" spans="1:10">
      <c r="A141" s="2"/>
      <c r="B141" s="2"/>
      <c r="C141" s="3" t="str">
        <f>IF(B141="","",IFERROR(VLOOKUP(B141,Players!$A$4:$B$200,2,FALSE),""))</f>
        <v/>
      </c>
      <c r="D141" s="2"/>
      <c r="E141" s="2"/>
      <c r="F141" s="2"/>
      <c r="G141" s="3" t="str">
        <f t="shared" si="2"/>
        <v/>
      </c>
      <c r="H141" s="2"/>
      <c r="I141" s="2"/>
      <c r="J141" s="2"/>
    </row>
    <row r="142" spans="1:10">
      <c r="A142" s="2"/>
      <c r="B142" s="2"/>
      <c r="C142" s="3" t="str">
        <f>IF(B142="","",IFERROR(VLOOKUP(B142,Players!$A$4:$B$200,2,FALSE),""))</f>
        <v/>
      </c>
      <c r="D142" s="2"/>
      <c r="E142" s="2"/>
      <c r="F142" s="2"/>
      <c r="G142" s="3" t="str">
        <f t="shared" si="2"/>
        <v/>
      </c>
      <c r="H142" s="2"/>
      <c r="I142" s="2"/>
      <c r="J142" s="2"/>
    </row>
    <row r="143" spans="1:10">
      <c r="A143" s="2"/>
      <c r="B143" s="2"/>
      <c r="C143" s="3" t="str">
        <f>IF(B143="","",IFERROR(VLOOKUP(B143,Players!$A$4:$B$200,2,FALSE),""))</f>
        <v/>
      </c>
      <c r="D143" s="2"/>
      <c r="E143" s="2"/>
      <c r="F143" s="2"/>
      <c r="G143" s="3" t="str">
        <f t="shared" si="2"/>
        <v/>
      </c>
      <c r="H143" s="2"/>
      <c r="I143" s="2"/>
      <c r="J143" s="2"/>
    </row>
    <row r="144" spans="1:10">
      <c r="A144" s="2"/>
      <c r="B144" s="2"/>
      <c r="C144" s="3" t="str">
        <f>IF(B144="","",IFERROR(VLOOKUP(B144,Players!$A$4:$B$200,2,FALSE),""))</f>
        <v/>
      </c>
      <c r="D144" s="2"/>
      <c r="E144" s="2"/>
      <c r="F144" s="2"/>
      <c r="G144" s="3" t="str">
        <f t="shared" si="2"/>
        <v/>
      </c>
      <c r="H144" s="2"/>
      <c r="I144" s="2"/>
      <c r="J144" s="2"/>
    </row>
    <row r="145" spans="1:10">
      <c r="A145" s="2"/>
      <c r="B145" s="2"/>
      <c r="C145" s="3" t="str">
        <f>IF(B145="","",IFERROR(VLOOKUP(B145,Players!$A$4:$B$200,2,FALSE),""))</f>
        <v/>
      </c>
      <c r="D145" s="2"/>
      <c r="E145" s="2"/>
      <c r="F145" s="2"/>
      <c r="G145" s="3" t="str">
        <f t="shared" si="2"/>
        <v/>
      </c>
      <c r="H145" s="2"/>
      <c r="I145" s="2"/>
      <c r="J145" s="2"/>
    </row>
    <row r="146" spans="1:10">
      <c r="A146" s="2"/>
      <c r="B146" s="2"/>
      <c r="C146" s="3" t="str">
        <f>IF(B146="","",IFERROR(VLOOKUP(B146,Players!$A$4:$B$200,2,FALSE),""))</f>
        <v/>
      </c>
      <c r="D146" s="2"/>
      <c r="E146" s="2"/>
      <c r="F146" s="2"/>
      <c r="G146" s="3" t="str">
        <f t="shared" si="2"/>
        <v/>
      </c>
      <c r="H146" s="2"/>
      <c r="I146" s="2"/>
      <c r="J146" s="2"/>
    </row>
    <row r="147" spans="1:10">
      <c r="A147" s="2"/>
      <c r="B147" s="2"/>
      <c r="C147" s="3" t="str">
        <f>IF(B147="","",IFERROR(VLOOKUP(B147,Players!$A$4:$B$200,2,FALSE),""))</f>
        <v/>
      </c>
      <c r="D147" s="2"/>
      <c r="E147" s="2"/>
      <c r="F147" s="2"/>
      <c r="G147" s="3" t="str">
        <f t="shared" si="2"/>
        <v/>
      </c>
      <c r="H147" s="2"/>
      <c r="I147" s="2"/>
      <c r="J147" s="2"/>
    </row>
    <row r="148" spans="1:10">
      <c r="A148" s="2"/>
      <c r="B148" s="2"/>
      <c r="C148" s="3" t="str">
        <f>IF(B148="","",IFERROR(VLOOKUP(B148,Players!$A$4:$B$200,2,FALSE),""))</f>
        <v/>
      </c>
      <c r="D148" s="2"/>
      <c r="E148" s="2"/>
      <c r="F148" s="2"/>
      <c r="G148" s="3" t="str">
        <f t="shared" si="2"/>
        <v/>
      </c>
      <c r="H148" s="2"/>
      <c r="I148" s="2"/>
      <c r="J148" s="2"/>
    </row>
    <row r="149" spans="1:10">
      <c r="A149" s="2"/>
      <c r="B149" s="2"/>
      <c r="C149" s="3" t="str">
        <f>IF(B149="","",IFERROR(VLOOKUP(B149,Players!$A$4:$B$200,2,FALSE),""))</f>
        <v/>
      </c>
      <c r="D149" s="2"/>
      <c r="E149" s="2"/>
      <c r="F149" s="2"/>
      <c r="G149" s="3" t="str">
        <f t="shared" si="2"/>
        <v/>
      </c>
      <c r="H149" s="2"/>
      <c r="I149" s="2"/>
      <c r="J149" s="2"/>
    </row>
    <row r="150" spans="1:10">
      <c r="A150" s="2"/>
      <c r="B150" s="2"/>
      <c r="C150" s="3" t="str">
        <f>IF(B150="","",IFERROR(VLOOKUP(B150,Players!$A$4:$B$200,2,FALSE),""))</f>
        <v/>
      </c>
      <c r="D150" s="2"/>
      <c r="E150" s="2"/>
      <c r="F150" s="2"/>
      <c r="G150" s="3" t="str">
        <f t="shared" si="2"/>
        <v/>
      </c>
      <c r="H150" s="2"/>
      <c r="I150" s="2"/>
      <c r="J150" s="2"/>
    </row>
    <row r="151" spans="1:10">
      <c r="A151" s="2"/>
      <c r="B151" s="2"/>
      <c r="C151" s="3" t="str">
        <f>IF(B151="","",IFERROR(VLOOKUP(B151,Players!$A$4:$B$200,2,FALSE),""))</f>
        <v/>
      </c>
      <c r="D151" s="2"/>
      <c r="E151" s="2"/>
      <c r="F151" s="2"/>
      <c r="G151" s="3" t="str">
        <f t="shared" si="2"/>
        <v/>
      </c>
      <c r="H151" s="2"/>
      <c r="I151" s="2"/>
      <c r="J151" s="2"/>
    </row>
    <row r="152" spans="1:10">
      <c r="A152" s="2"/>
      <c r="B152" s="2"/>
      <c r="C152" s="3" t="str">
        <f>IF(B152="","",IFERROR(VLOOKUP(B152,Players!$A$4:$B$200,2,FALSE),""))</f>
        <v/>
      </c>
      <c r="D152" s="2"/>
      <c r="E152" s="2"/>
      <c r="F152" s="2"/>
      <c r="G152" s="3" t="str">
        <f t="shared" si="2"/>
        <v/>
      </c>
      <c r="H152" s="2"/>
      <c r="I152" s="2"/>
      <c r="J152" s="2"/>
    </row>
    <row r="153" spans="1:10">
      <c r="A153" s="2"/>
      <c r="B153" s="2"/>
      <c r="C153" s="3" t="str">
        <f>IF(B153="","",IFERROR(VLOOKUP(B153,Players!$A$4:$B$200,2,FALSE),""))</f>
        <v/>
      </c>
      <c r="D153" s="2"/>
      <c r="E153" s="2"/>
      <c r="F153" s="2"/>
      <c r="G153" s="3" t="str">
        <f t="shared" si="2"/>
        <v/>
      </c>
      <c r="H153" s="2"/>
      <c r="I153" s="2"/>
      <c r="J153" s="2"/>
    </row>
    <row r="154" spans="1:10">
      <c r="A154" s="2"/>
      <c r="B154" s="2"/>
      <c r="C154" s="3" t="str">
        <f>IF(B154="","",IFERROR(VLOOKUP(B154,Players!$A$4:$B$200,2,FALSE),""))</f>
        <v/>
      </c>
      <c r="D154" s="2"/>
      <c r="E154" s="2"/>
      <c r="F154" s="2"/>
      <c r="G154" s="3" t="str">
        <f t="shared" si="2"/>
        <v/>
      </c>
      <c r="H154" s="2"/>
      <c r="I154" s="2"/>
      <c r="J154" s="2"/>
    </row>
    <row r="155" spans="1:10">
      <c r="A155" s="2"/>
      <c r="B155" s="2"/>
      <c r="C155" s="3" t="str">
        <f>IF(B155="","",IFERROR(VLOOKUP(B155,Players!$A$4:$B$200,2,FALSE),""))</f>
        <v/>
      </c>
      <c r="D155" s="2"/>
      <c r="E155" s="2"/>
      <c r="F155" s="2"/>
      <c r="G155" s="3" t="str">
        <f t="shared" si="2"/>
        <v/>
      </c>
      <c r="H155" s="2"/>
      <c r="I155" s="2"/>
      <c r="J155" s="2"/>
    </row>
    <row r="156" spans="1:10">
      <c r="A156" s="2"/>
      <c r="B156" s="2"/>
      <c r="C156" s="3" t="str">
        <f>IF(B156="","",IFERROR(VLOOKUP(B156,Players!$A$4:$B$200,2,FALSE),""))</f>
        <v/>
      </c>
      <c r="D156" s="2"/>
      <c r="E156" s="2"/>
      <c r="F156" s="2"/>
      <c r="G156" s="3" t="str">
        <f t="shared" si="2"/>
        <v/>
      </c>
      <c r="H156" s="2"/>
      <c r="I156" s="2"/>
      <c r="J156" s="2"/>
    </row>
    <row r="157" spans="1:10">
      <c r="A157" s="2"/>
      <c r="B157" s="2"/>
      <c r="C157" s="3" t="str">
        <f>IF(B157="","",IFERROR(VLOOKUP(B157,Players!$A$4:$B$200,2,FALSE),""))</f>
        <v/>
      </c>
      <c r="D157" s="2"/>
      <c r="E157" s="2"/>
      <c r="F157" s="2"/>
      <c r="G157" s="3" t="str">
        <f t="shared" si="2"/>
        <v/>
      </c>
      <c r="H157" s="2"/>
      <c r="I157" s="2"/>
      <c r="J157" s="2"/>
    </row>
    <row r="158" spans="1:10">
      <c r="A158" s="2"/>
      <c r="B158" s="2"/>
      <c r="C158" s="3" t="str">
        <f>IF(B158="","",IFERROR(VLOOKUP(B158,Players!$A$4:$B$200,2,FALSE),""))</f>
        <v/>
      </c>
      <c r="D158" s="2"/>
      <c r="E158" s="2"/>
      <c r="F158" s="2"/>
      <c r="G158" s="3" t="str">
        <f t="shared" si="2"/>
        <v/>
      </c>
      <c r="H158" s="2"/>
      <c r="I158" s="2"/>
      <c r="J158" s="2"/>
    </row>
    <row r="159" spans="1:10">
      <c r="A159" s="2"/>
      <c r="B159" s="2"/>
      <c r="C159" s="3" t="str">
        <f>IF(B159="","",IFERROR(VLOOKUP(B159,Players!$A$4:$B$200,2,FALSE),""))</f>
        <v/>
      </c>
      <c r="D159" s="2"/>
      <c r="E159" s="2"/>
      <c r="F159" s="2"/>
      <c r="G159" s="3" t="str">
        <f t="shared" si="2"/>
        <v/>
      </c>
      <c r="H159" s="2"/>
      <c r="I159" s="2"/>
      <c r="J159" s="2"/>
    </row>
    <row r="160" spans="1:10">
      <c r="A160" s="2"/>
      <c r="B160" s="2"/>
      <c r="C160" s="3" t="str">
        <f>IF(B160="","",IFERROR(VLOOKUP(B160,Players!$A$4:$B$200,2,FALSE),""))</f>
        <v/>
      </c>
      <c r="D160" s="2"/>
      <c r="E160" s="2"/>
      <c r="F160" s="2"/>
      <c r="G160" s="3" t="str">
        <f t="shared" si="2"/>
        <v/>
      </c>
      <c r="H160" s="2"/>
      <c r="I160" s="2"/>
      <c r="J160" s="2"/>
    </row>
    <row r="161" spans="1:10">
      <c r="A161" s="2"/>
      <c r="B161" s="2"/>
      <c r="C161" s="3" t="str">
        <f>IF(B161="","",IFERROR(VLOOKUP(B161,Players!$A$4:$B$200,2,FALSE),""))</f>
        <v/>
      </c>
      <c r="D161" s="2"/>
      <c r="E161" s="2"/>
      <c r="F161" s="2"/>
      <c r="G161" s="3" t="str">
        <f t="shared" si="2"/>
        <v/>
      </c>
      <c r="H161" s="2"/>
      <c r="I161" s="2"/>
      <c r="J161" s="2"/>
    </row>
    <row r="162" spans="1:10">
      <c r="A162" s="2"/>
      <c r="B162" s="2"/>
      <c r="C162" s="3" t="str">
        <f>IF(B162="","",IFERROR(VLOOKUP(B162,Players!$A$4:$B$200,2,FALSE),""))</f>
        <v/>
      </c>
      <c r="D162" s="2"/>
      <c r="E162" s="2"/>
      <c r="F162" s="2"/>
      <c r="G162" s="3" t="str">
        <f t="shared" si="2"/>
        <v/>
      </c>
      <c r="H162" s="2"/>
      <c r="I162" s="2"/>
      <c r="J162" s="2"/>
    </row>
    <row r="163" spans="1:10">
      <c r="A163" s="2"/>
      <c r="B163" s="2"/>
      <c r="C163" s="3" t="str">
        <f>IF(B163="","",IFERROR(VLOOKUP(B163,Players!$A$4:$B$200,2,FALSE),""))</f>
        <v/>
      </c>
      <c r="D163" s="2"/>
      <c r="E163" s="2"/>
      <c r="F163" s="2"/>
      <c r="G163" s="3" t="str">
        <f t="shared" si="2"/>
        <v/>
      </c>
      <c r="H163" s="2"/>
      <c r="I163" s="2"/>
      <c r="J163" s="2"/>
    </row>
    <row r="164" spans="1:10">
      <c r="A164" s="2"/>
      <c r="B164" s="2"/>
      <c r="C164" s="3" t="str">
        <f>IF(B164="","",IFERROR(VLOOKUP(B164,Players!$A$4:$B$200,2,FALSE),""))</f>
        <v/>
      </c>
      <c r="D164" s="2"/>
      <c r="E164" s="2"/>
      <c r="F164" s="2"/>
      <c r="G164" s="3" t="str">
        <f t="shared" si="2"/>
        <v/>
      </c>
      <c r="H164" s="2"/>
      <c r="I164" s="2"/>
      <c r="J164" s="2"/>
    </row>
    <row r="165" spans="1:10">
      <c r="A165" s="2"/>
      <c r="B165" s="2"/>
      <c r="C165" s="3" t="str">
        <f>IF(B165="","",IFERROR(VLOOKUP(B165,Players!$A$4:$B$200,2,FALSE),""))</f>
        <v/>
      </c>
      <c r="D165" s="2"/>
      <c r="E165" s="2"/>
      <c r="F165" s="2"/>
      <c r="G165" s="3" t="str">
        <f t="shared" si="2"/>
        <v/>
      </c>
      <c r="H165" s="2"/>
      <c r="I165" s="2"/>
      <c r="J165" s="2"/>
    </row>
    <row r="166" spans="1:10">
      <c r="A166" s="2"/>
      <c r="B166" s="2"/>
      <c r="C166" s="3" t="str">
        <f>IF(B166="","",IFERROR(VLOOKUP(B166,Players!$A$4:$B$200,2,FALSE),""))</f>
        <v/>
      </c>
      <c r="D166" s="2"/>
      <c r="E166" s="2"/>
      <c r="F166" s="2"/>
      <c r="G166" s="3" t="str">
        <f t="shared" si="2"/>
        <v/>
      </c>
      <c r="H166" s="2"/>
      <c r="I166" s="2"/>
      <c r="J166" s="2"/>
    </row>
    <row r="167" spans="1:10">
      <c r="A167" s="2"/>
      <c r="B167" s="2"/>
      <c r="C167" s="3" t="str">
        <f>IF(B167="","",IFERROR(VLOOKUP(B167,Players!$A$4:$B$200,2,FALSE),""))</f>
        <v/>
      </c>
      <c r="D167" s="2"/>
      <c r="E167" s="2"/>
      <c r="F167" s="2"/>
      <c r="G167" s="3" t="str">
        <f t="shared" si="2"/>
        <v/>
      </c>
      <c r="H167" s="2"/>
      <c r="I167" s="2"/>
      <c r="J167" s="2"/>
    </row>
    <row r="168" spans="1:10">
      <c r="A168" s="2"/>
      <c r="B168" s="2"/>
      <c r="C168" s="3" t="str">
        <f>IF(B168="","",IFERROR(VLOOKUP(B168,Players!$A$4:$B$200,2,FALSE),""))</f>
        <v/>
      </c>
      <c r="D168" s="2"/>
      <c r="E168" s="2"/>
      <c r="F168" s="2"/>
      <c r="G168" s="3" t="str">
        <f t="shared" si="2"/>
        <v/>
      </c>
      <c r="H168" s="2"/>
      <c r="I168" s="2"/>
      <c r="J168" s="2"/>
    </row>
    <row r="169" spans="1:10">
      <c r="A169" s="2"/>
      <c r="B169" s="2"/>
      <c r="C169" s="3" t="str">
        <f>IF(B169="","",IFERROR(VLOOKUP(B169,Players!$A$4:$B$200,2,FALSE),""))</f>
        <v/>
      </c>
      <c r="D169" s="2"/>
      <c r="E169" s="2"/>
      <c r="F169" s="2"/>
      <c r="G169" s="3" t="str">
        <f t="shared" si="2"/>
        <v/>
      </c>
      <c r="H169" s="2"/>
      <c r="I169" s="2"/>
      <c r="J169" s="2"/>
    </row>
    <row r="170" spans="1:10">
      <c r="A170" s="2"/>
      <c r="B170" s="2"/>
      <c r="C170" s="3" t="str">
        <f>IF(B170="","",IFERROR(VLOOKUP(B170,Players!$A$4:$B$200,2,FALSE),""))</f>
        <v/>
      </c>
      <c r="D170" s="2"/>
      <c r="E170" s="2"/>
      <c r="F170" s="2"/>
      <c r="G170" s="3" t="str">
        <f t="shared" si="2"/>
        <v/>
      </c>
      <c r="H170" s="2"/>
      <c r="I170" s="2"/>
      <c r="J170" s="2"/>
    </row>
    <row r="171" spans="1:10">
      <c r="A171" s="2"/>
      <c r="B171" s="2"/>
      <c r="C171" s="3" t="str">
        <f>IF(B171="","",IFERROR(VLOOKUP(B171,Players!$A$4:$B$200,2,FALSE),""))</f>
        <v/>
      </c>
      <c r="D171" s="2"/>
      <c r="E171" s="2"/>
      <c r="F171" s="2"/>
      <c r="G171" s="3" t="str">
        <f t="shared" si="2"/>
        <v/>
      </c>
      <c r="H171" s="2"/>
      <c r="I171" s="2"/>
      <c r="J171" s="2"/>
    </row>
    <row r="172" spans="1:10">
      <c r="A172" s="2"/>
      <c r="B172" s="2"/>
      <c r="C172" s="3" t="str">
        <f>IF(B172="","",IFERROR(VLOOKUP(B172,Players!$A$4:$B$200,2,FALSE),""))</f>
        <v/>
      </c>
      <c r="D172" s="2"/>
      <c r="E172" s="2"/>
      <c r="F172" s="2"/>
      <c r="G172" s="3" t="str">
        <f t="shared" si="2"/>
        <v/>
      </c>
      <c r="H172" s="2"/>
      <c r="I172" s="2"/>
      <c r="J172" s="2"/>
    </row>
    <row r="173" spans="1:10">
      <c r="A173" s="2"/>
      <c r="B173" s="2"/>
      <c r="C173" s="3" t="str">
        <f>IF(B173="","",IFERROR(VLOOKUP(B173,Players!$A$4:$B$200,2,FALSE),""))</f>
        <v/>
      </c>
      <c r="D173" s="2"/>
      <c r="E173" s="2"/>
      <c r="F173" s="2"/>
      <c r="G173" s="3" t="str">
        <f t="shared" si="2"/>
        <v/>
      </c>
      <c r="H173" s="2"/>
      <c r="I173" s="2"/>
      <c r="J173" s="2"/>
    </row>
    <row r="174" spans="1:10">
      <c r="A174" s="2"/>
      <c r="B174" s="2"/>
      <c r="C174" s="3" t="str">
        <f>IF(B174="","",IFERROR(VLOOKUP(B174,Players!$A$4:$B$200,2,FALSE),""))</f>
        <v/>
      </c>
      <c r="D174" s="2"/>
      <c r="E174" s="2"/>
      <c r="F174" s="2"/>
      <c r="G174" s="3" t="str">
        <f t="shared" si="2"/>
        <v/>
      </c>
      <c r="H174" s="2"/>
      <c r="I174" s="2"/>
      <c r="J174" s="2"/>
    </row>
    <row r="175" spans="1:10">
      <c r="A175" s="2"/>
      <c r="B175" s="2"/>
      <c r="C175" s="3" t="str">
        <f>IF(B175="","",IFERROR(VLOOKUP(B175,Players!$A$4:$B$200,2,FALSE),""))</f>
        <v/>
      </c>
      <c r="D175" s="2"/>
      <c r="E175" s="2"/>
      <c r="F175" s="2"/>
      <c r="G175" s="3" t="str">
        <f t="shared" si="2"/>
        <v/>
      </c>
      <c r="H175" s="2"/>
      <c r="I175" s="2"/>
      <c r="J175" s="2"/>
    </row>
    <row r="176" spans="1:10">
      <c r="A176" s="2"/>
      <c r="B176" s="2"/>
      <c r="C176" s="3" t="str">
        <f>IF(B176="","",IFERROR(VLOOKUP(B176,Players!$A$4:$B$200,2,FALSE),""))</f>
        <v/>
      </c>
      <c r="D176" s="2"/>
      <c r="E176" s="2"/>
      <c r="F176" s="2"/>
      <c r="G176" s="3" t="str">
        <f t="shared" si="2"/>
        <v/>
      </c>
      <c r="H176" s="2"/>
      <c r="I176" s="2"/>
      <c r="J176" s="2"/>
    </row>
    <row r="177" spans="1:10">
      <c r="A177" s="2"/>
      <c r="B177" s="2"/>
      <c r="C177" s="3" t="str">
        <f>IF(B177="","",IFERROR(VLOOKUP(B177,Players!$A$4:$B$200,2,FALSE),""))</f>
        <v/>
      </c>
      <c r="D177" s="2"/>
      <c r="E177" s="2"/>
      <c r="F177" s="2"/>
      <c r="G177" s="3" t="str">
        <f t="shared" si="2"/>
        <v/>
      </c>
      <c r="H177" s="2"/>
      <c r="I177" s="2"/>
      <c r="J177" s="2"/>
    </row>
    <row r="178" spans="1:10">
      <c r="A178" s="2"/>
      <c r="B178" s="2"/>
      <c r="C178" s="3" t="str">
        <f>IF(B178="","",IFERROR(VLOOKUP(B178,Players!$A$4:$B$200,2,FALSE),""))</f>
        <v/>
      </c>
      <c r="D178" s="2"/>
      <c r="E178" s="2"/>
      <c r="F178" s="2"/>
      <c r="G178" s="3" t="str">
        <f t="shared" si="2"/>
        <v/>
      </c>
      <c r="H178" s="2"/>
      <c r="I178" s="2"/>
      <c r="J178" s="2"/>
    </row>
    <row r="179" spans="1:10">
      <c r="A179" s="2"/>
      <c r="B179" s="2"/>
      <c r="C179" s="3" t="str">
        <f>IF(B179="","",IFERROR(VLOOKUP(B179,Players!$A$4:$B$200,2,FALSE),""))</f>
        <v/>
      </c>
      <c r="D179" s="2"/>
      <c r="E179" s="2"/>
      <c r="F179" s="2"/>
      <c r="G179" s="3" t="str">
        <f t="shared" si="2"/>
        <v/>
      </c>
      <c r="H179" s="2"/>
      <c r="I179" s="2"/>
      <c r="J179" s="2"/>
    </row>
    <row r="180" spans="1:10">
      <c r="A180" s="2"/>
      <c r="B180" s="2"/>
      <c r="C180" s="3" t="str">
        <f>IF(B180="","",IFERROR(VLOOKUP(B180,Players!$A$4:$B$200,2,FALSE),""))</f>
        <v/>
      </c>
      <c r="D180" s="2"/>
      <c r="E180" s="2"/>
      <c r="F180" s="2"/>
      <c r="G180" s="3" t="str">
        <f t="shared" si="2"/>
        <v/>
      </c>
      <c r="H180" s="2"/>
      <c r="I180" s="2"/>
      <c r="J180" s="2"/>
    </row>
    <row r="181" spans="1:10">
      <c r="A181" s="2"/>
      <c r="B181" s="2"/>
      <c r="C181" s="3" t="str">
        <f>IF(B181="","",IFERROR(VLOOKUP(B181,Players!$A$4:$B$200,2,FALSE),""))</f>
        <v/>
      </c>
      <c r="D181" s="2"/>
      <c r="E181" s="2"/>
      <c r="F181" s="2"/>
      <c r="G181" s="3" t="str">
        <f t="shared" si="2"/>
        <v/>
      </c>
      <c r="H181" s="2"/>
      <c r="I181" s="2"/>
      <c r="J181" s="2"/>
    </row>
    <row r="182" spans="1:10">
      <c r="A182" s="2"/>
      <c r="B182" s="2"/>
      <c r="C182" s="3" t="str">
        <f>IF(B182="","",IFERROR(VLOOKUP(B182,Players!$A$4:$B$200,2,FALSE),""))</f>
        <v/>
      </c>
      <c r="D182" s="2"/>
      <c r="E182" s="2"/>
      <c r="F182" s="2"/>
      <c r="G182" s="3" t="str">
        <f t="shared" si="2"/>
        <v/>
      </c>
      <c r="H182" s="2"/>
      <c r="I182" s="2"/>
      <c r="J182" s="2"/>
    </row>
    <row r="183" spans="1:10">
      <c r="A183" s="2"/>
      <c r="B183" s="2"/>
      <c r="C183" s="3" t="str">
        <f>IF(B183="","",IFERROR(VLOOKUP(B183,Players!$A$4:$B$200,2,FALSE),""))</f>
        <v/>
      </c>
      <c r="D183" s="2"/>
      <c r="E183" s="2"/>
      <c r="F183" s="2"/>
      <c r="G183" s="3" t="str">
        <f t="shared" si="2"/>
        <v/>
      </c>
      <c r="H183" s="2"/>
      <c r="I183" s="2"/>
      <c r="J183" s="2"/>
    </row>
    <row r="184" spans="1:10">
      <c r="A184" s="2"/>
      <c r="B184" s="2"/>
      <c r="C184" s="3" t="str">
        <f>IF(B184="","",IFERROR(VLOOKUP(B184,Players!$A$4:$B$200,2,FALSE),""))</f>
        <v/>
      </c>
      <c r="D184" s="2"/>
      <c r="E184" s="2"/>
      <c r="F184" s="2"/>
      <c r="G184" s="3" t="str">
        <f t="shared" si="2"/>
        <v/>
      </c>
      <c r="H184" s="2"/>
      <c r="I184" s="2"/>
      <c r="J184" s="2"/>
    </row>
    <row r="185" spans="1:10">
      <c r="A185" s="2"/>
      <c r="B185" s="2"/>
      <c r="C185" s="3" t="str">
        <f>IF(B185="","",IFERROR(VLOOKUP(B185,Players!$A$4:$B$200,2,FALSE),""))</f>
        <v/>
      </c>
      <c r="D185" s="2"/>
      <c r="E185" s="2"/>
      <c r="F185" s="2"/>
      <c r="G185" s="3" t="str">
        <f t="shared" si="2"/>
        <v/>
      </c>
      <c r="H185" s="2"/>
      <c r="I185" s="2"/>
      <c r="J185" s="2"/>
    </row>
    <row r="186" spans="1:10">
      <c r="A186" s="2"/>
      <c r="B186" s="2"/>
      <c r="C186" s="3" t="str">
        <f>IF(B186="","",IFERROR(VLOOKUP(B186,Players!$A$4:$B$200,2,FALSE),""))</f>
        <v/>
      </c>
      <c r="D186" s="2"/>
      <c r="E186" s="2"/>
      <c r="F186" s="2"/>
      <c r="G186" s="3" t="str">
        <f t="shared" si="2"/>
        <v/>
      </c>
      <c r="H186" s="2"/>
      <c r="I186" s="2"/>
      <c r="J186" s="2"/>
    </row>
    <row r="187" spans="1:10">
      <c r="A187" s="2"/>
      <c r="B187" s="2"/>
      <c r="C187" s="3" t="str">
        <f>IF(B187="","",IFERROR(VLOOKUP(B187,Players!$A$4:$B$200,2,FALSE),""))</f>
        <v/>
      </c>
      <c r="D187" s="2"/>
      <c r="E187" s="2"/>
      <c r="F187" s="2"/>
      <c r="G187" s="3" t="str">
        <f t="shared" si="2"/>
        <v/>
      </c>
      <c r="H187" s="2"/>
      <c r="I187" s="2"/>
      <c r="J187" s="2"/>
    </row>
    <row r="188" spans="1:10">
      <c r="A188" s="2"/>
      <c r="B188" s="2"/>
      <c r="C188" s="3" t="str">
        <f>IF(B188="","",IFERROR(VLOOKUP(B188,Players!$A$4:$B$200,2,FALSE),""))</f>
        <v/>
      </c>
      <c r="D188" s="2"/>
      <c r="E188" s="2"/>
      <c r="F188" s="2"/>
      <c r="G188" s="3" t="str">
        <f t="shared" si="2"/>
        <v/>
      </c>
      <c r="H188" s="2"/>
      <c r="I188" s="2"/>
      <c r="J188" s="2"/>
    </row>
    <row r="189" spans="1:10">
      <c r="A189" s="2"/>
      <c r="B189" s="2"/>
      <c r="C189" s="3" t="str">
        <f>IF(B189="","",IFERROR(VLOOKUP(B189,Players!$A$4:$B$200,2,FALSE),""))</f>
        <v/>
      </c>
      <c r="D189" s="2"/>
      <c r="E189" s="2"/>
      <c r="F189" s="2"/>
      <c r="G189" s="3" t="str">
        <f t="shared" si="2"/>
        <v/>
      </c>
      <c r="H189" s="2"/>
      <c r="I189" s="2"/>
      <c r="J189" s="2"/>
    </row>
    <row r="190" spans="1:10">
      <c r="A190" s="2"/>
      <c r="B190" s="2"/>
      <c r="C190" s="3" t="str">
        <f>IF(B190="","",IFERROR(VLOOKUP(B190,Players!$A$4:$B$200,2,FALSE),""))</f>
        <v/>
      </c>
      <c r="D190" s="2"/>
      <c r="E190" s="2"/>
      <c r="F190" s="2"/>
      <c r="G190" s="3" t="str">
        <f t="shared" si="2"/>
        <v/>
      </c>
      <c r="H190" s="2"/>
      <c r="I190" s="2"/>
      <c r="J190" s="2"/>
    </row>
    <row r="191" spans="1:10">
      <c r="A191" s="2"/>
      <c r="B191" s="2"/>
      <c r="C191" s="3" t="str">
        <f>IF(B191="","",IFERROR(VLOOKUP(B191,Players!$A$4:$B$200,2,FALSE),""))</f>
        <v/>
      </c>
      <c r="D191" s="2"/>
      <c r="E191" s="2"/>
      <c r="F191" s="2"/>
      <c r="G191" s="3" t="str">
        <f t="shared" si="2"/>
        <v/>
      </c>
      <c r="H191" s="2"/>
      <c r="I191" s="2"/>
      <c r="J191" s="2"/>
    </row>
    <row r="192" spans="1:10">
      <c r="A192" s="2"/>
      <c r="B192" s="2"/>
      <c r="C192" s="3" t="str">
        <f>IF(B192="","",IFERROR(VLOOKUP(B192,Players!$A$4:$B$200,2,FALSE),""))</f>
        <v/>
      </c>
      <c r="D192" s="2"/>
      <c r="E192" s="2"/>
      <c r="F192" s="2"/>
      <c r="G192" s="3" t="str">
        <f t="shared" si="2"/>
        <v/>
      </c>
      <c r="H192" s="2"/>
      <c r="I192" s="2"/>
      <c r="J192" s="2"/>
    </row>
    <row r="193" spans="1:10">
      <c r="A193" s="2"/>
      <c r="B193" s="2"/>
      <c r="C193" s="3" t="str">
        <f>IF(B193="","",IFERROR(VLOOKUP(B193,Players!$A$4:$B$200,2,FALSE),""))</f>
        <v/>
      </c>
      <c r="D193" s="2"/>
      <c r="E193" s="2"/>
      <c r="F193" s="2"/>
      <c r="G193" s="3" t="str">
        <f t="shared" si="2"/>
        <v/>
      </c>
      <c r="H193" s="2"/>
      <c r="I193" s="2"/>
      <c r="J193" s="2"/>
    </row>
    <row r="194" spans="1:10">
      <c r="A194" s="2"/>
      <c r="B194" s="2"/>
      <c r="C194" s="3" t="str">
        <f>IF(B194="","",IFERROR(VLOOKUP(B194,Players!$A$4:$B$200,2,FALSE),""))</f>
        <v/>
      </c>
      <c r="D194" s="2"/>
      <c r="E194" s="2"/>
      <c r="F194" s="2"/>
      <c r="G194" s="3" t="str">
        <f t="shared" si="2"/>
        <v/>
      </c>
      <c r="H194" s="2"/>
      <c r="I194" s="2"/>
      <c r="J194" s="2"/>
    </row>
    <row r="195" spans="1:10">
      <c r="A195" s="2"/>
      <c r="B195" s="2"/>
      <c r="C195" s="3" t="str">
        <f>IF(B195="","",IFERROR(VLOOKUP(B195,Players!$A$4:$B$200,2,FALSE),""))</f>
        <v/>
      </c>
      <c r="D195" s="2"/>
      <c r="E195" s="2"/>
      <c r="F195" s="2"/>
      <c r="G195" s="3" t="str">
        <f t="shared" si="2"/>
        <v/>
      </c>
      <c r="H195" s="2"/>
      <c r="I195" s="2"/>
      <c r="J195" s="2"/>
    </row>
    <row r="196" spans="1:10">
      <c r="A196" s="2"/>
      <c r="B196" s="2"/>
      <c r="C196" s="3" t="str">
        <f>IF(B196="","",IFERROR(VLOOKUP(B196,Players!$A$4:$B$200,2,FALSE),""))</f>
        <v/>
      </c>
      <c r="D196" s="2"/>
      <c r="E196" s="2"/>
      <c r="F196" s="2"/>
      <c r="G196" s="3" t="str">
        <f t="shared" ref="G196:G259" si="3">IF(AND(E196="",F196=""),"",SUM(E196:F196))</f>
        <v/>
      </c>
      <c r="H196" s="2"/>
      <c r="I196" s="2"/>
      <c r="J196" s="2"/>
    </row>
    <row r="197" spans="1:10">
      <c r="A197" s="2"/>
      <c r="B197" s="2"/>
      <c r="C197" s="3" t="str">
        <f>IF(B197="","",IFERROR(VLOOKUP(B197,Players!$A$4:$B$200,2,FALSE),""))</f>
        <v/>
      </c>
      <c r="D197" s="2"/>
      <c r="E197" s="2"/>
      <c r="F197" s="2"/>
      <c r="G197" s="3" t="str">
        <f t="shared" si="3"/>
        <v/>
      </c>
      <c r="H197" s="2"/>
      <c r="I197" s="2"/>
      <c r="J197" s="2"/>
    </row>
    <row r="198" spans="1:10">
      <c r="A198" s="2"/>
      <c r="B198" s="2"/>
      <c r="C198" s="3" t="str">
        <f>IF(B198="","",IFERROR(VLOOKUP(B198,Players!$A$4:$B$200,2,FALSE),""))</f>
        <v/>
      </c>
      <c r="D198" s="2"/>
      <c r="E198" s="2"/>
      <c r="F198" s="2"/>
      <c r="G198" s="3" t="str">
        <f t="shared" si="3"/>
        <v/>
      </c>
      <c r="H198" s="2"/>
      <c r="I198" s="2"/>
      <c r="J198" s="2"/>
    </row>
    <row r="199" spans="1:10">
      <c r="A199" s="2"/>
      <c r="B199" s="2"/>
      <c r="C199" s="3" t="str">
        <f>IF(B199="","",IFERROR(VLOOKUP(B199,Players!$A$4:$B$200,2,FALSE),""))</f>
        <v/>
      </c>
      <c r="D199" s="2"/>
      <c r="E199" s="2"/>
      <c r="F199" s="2"/>
      <c r="G199" s="3" t="str">
        <f t="shared" si="3"/>
        <v/>
      </c>
      <c r="H199" s="2"/>
      <c r="I199" s="2"/>
      <c r="J199" s="2"/>
    </row>
    <row r="200" spans="1:10">
      <c r="A200" s="2"/>
      <c r="B200" s="2"/>
      <c r="C200" s="3" t="str">
        <f>IF(B200="","",IFERROR(VLOOKUP(B200,Players!$A$4:$B$200,2,FALSE),""))</f>
        <v/>
      </c>
      <c r="D200" s="2"/>
      <c r="E200" s="2"/>
      <c r="F200" s="2"/>
      <c r="G200" s="3" t="str">
        <f t="shared" si="3"/>
        <v/>
      </c>
      <c r="H200" s="2"/>
      <c r="I200" s="2"/>
      <c r="J200" s="2"/>
    </row>
    <row r="201" spans="1:10">
      <c r="A201" s="2"/>
      <c r="B201" s="2"/>
      <c r="C201" s="3" t="str">
        <f>IF(B201="","",IFERROR(VLOOKUP(B201,Players!$A$4:$B$200,2,FALSE),""))</f>
        <v/>
      </c>
      <c r="D201" s="2"/>
      <c r="E201" s="2"/>
      <c r="F201" s="2"/>
      <c r="G201" s="3" t="str">
        <f t="shared" si="3"/>
        <v/>
      </c>
      <c r="H201" s="2"/>
      <c r="I201" s="2"/>
      <c r="J201" s="2"/>
    </row>
    <row r="202" spans="1:10">
      <c r="A202" s="2"/>
      <c r="B202" s="2"/>
      <c r="C202" s="3" t="str">
        <f>IF(B202="","",IFERROR(VLOOKUP(B202,Players!$A$4:$B$200,2,FALSE),""))</f>
        <v/>
      </c>
      <c r="D202" s="2"/>
      <c r="E202" s="2"/>
      <c r="F202" s="2"/>
      <c r="G202" s="3" t="str">
        <f t="shared" si="3"/>
        <v/>
      </c>
      <c r="H202" s="2"/>
      <c r="I202" s="2"/>
      <c r="J202" s="2"/>
    </row>
    <row r="203" spans="1:10">
      <c r="A203" s="2"/>
      <c r="B203" s="2"/>
      <c r="C203" s="3" t="str">
        <f>IF(B203="","",IFERROR(VLOOKUP(B203,Players!$A$4:$B$200,2,FALSE),""))</f>
        <v/>
      </c>
      <c r="D203" s="2"/>
      <c r="E203" s="2"/>
      <c r="F203" s="2"/>
      <c r="G203" s="3" t="str">
        <f t="shared" si="3"/>
        <v/>
      </c>
      <c r="H203" s="2"/>
      <c r="I203" s="2"/>
      <c r="J203" s="2"/>
    </row>
    <row r="204" spans="1:10">
      <c r="A204" s="2"/>
      <c r="B204" s="2"/>
      <c r="C204" s="3" t="str">
        <f>IF(B204="","",IFERROR(VLOOKUP(B204,Players!$A$4:$B$200,2,FALSE),""))</f>
        <v/>
      </c>
      <c r="D204" s="2"/>
      <c r="E204" s="2"/>
      <c r="F204" s="2"/>
      <c r="G204" s="3" t="str">
        <f t="shared" si="3"/>
        <v/>
      </c>
      <c r="H204" s="2"/>
      <c r="I204" s="2"/>
      <c r="J204" s="2"/>
    </row>
    <row r="205" spans="1:10">
      <c r="A205" s="2"/>
      <c r="B205" s="2"/>
      <c r="C205" s="3" t="str">
        <f>IF(B205="","",IFERROR(VLOOKUP(B205,Players!$A$4:$B$200,2,FALSE),""))</f>
        <v/>
      </c>
      <c r="D205" s="2"/>
      <c r="E205" s="2"/>
      <c r="F205" s="2"/>
      <c r="G205" s="3" t="str">
        <f t="shared" si="3"/>
        <v/>
      </c>
      <c r="H205" s="2"/>
      <c r="I205" s="2"/>
      <c r="J205" s="2"/>
    </row>
    <row r="206" spans="1:10">
      <c r="A206" s="2"/>
      <c r="B206" s="2"/>
      <c r="C206" s="3" t="str">
        <f>IF(B206="","",IFERROR(VLOOKUP(B206,Players!$A$4:$B$200,2,FALSE),""))</f>
        <v/>
      </c>
      <c r="D206" s="2"/>
      <c r="E206" s="2"/>
      <c r="F206" s="2"/>
      <c r="G206" s="3" t="str">
        <f t="shared" si="3"/>
        <v/>
      </c>
      <c r="H206" s="2"/>
      <c r="I206" s="2"/>
      <c r="J206" s="2"/>
    </row>
    <row r="207" spans="1:10">
      <c r="A207" s="2"/>
      <c r="B207" s="2"/>
      <c r="C207" s="3" t="str">
        <f>IF(B207="","",IFERROR(VLOOKUP(B207,Players!$A$4:$B$200,2,FALSE),""))</f>
        <v/>
      </c>
      <c r="D207" s="2"/>
      <c r="E207" s="2"/>
      <c r="F207" s="2"/>
      <c r="G207" s="3" t="str">
        <f t="shared" si="3"/>
        <v/>
      </c>
      <c r="H207" s="2"/>
      <c r="I207" s="2"/>
      <c r="J207" s="2"/>
    </row>
    <row r="208" spans="1:10">
      <c r="A208" s="2"/>
      <c r="B208" s="2"/>
      <c r="C208" s="3" t="str">
        <f>IF(B208="","",IFERROR(VLOOKUP(B208,Players!$A$4:$B$200,2,FALSE),""))</f>
        <v/>
      </c>
      <c r="D208" s="2"/>
      <c r="E208" s="2"/>
      <c r="F208" s="2"/>
      <c r="G208" s="3" t="str">
        <f t="shared" si="3"/>
        <v/>
      </c>
      <c r="H208" s="2"/>
      <c r="I208" s="2"/>
      <c r="J208" s="2"/>
    </row>
    <row r="209" spans="1:10">
      <c r="A209" s="2"/>
      <c r="B209" s="2"/>
      <c r="C209" s="3" t="str">
        <f>IF(B209="","",IFERROR(VLOOKUP(B209,Players!$A$4:$B$200,2,FALSE),""))</f>
        <v/>
      </c>
      <c r="D209" s="2"/>
      <c r="E209" s="2"/>
      <c r="F209" s="2"/>
      <c r="G209" s="3" t="str">
        <f t="shared" si="3"/>
        <v/>
      </c>
      <c r="H209" s="2"/>
      <c r="I209" s="2"/>
      <c r="J209" s="2"/>
    </row>
    <row r="210" spans="1:10">
      <c r="A210" s="2"/>
      <c r="B210" s="2"/>
      <c r="C210" s="3" t="str">
        <f>IF(B210="","",IFERROR(VLOOKUP(B210,Players!$A$4:$B$200,2,FALSE),""))</f>
        <v/>
      </c>
      <c r="D210" s="2"/>
      <c r="E210" s="2"/>
      <c r="F210" s="2"/>
      <c r="G210" s="3" t="str">
        <f t="shared" si="3"/>
        <v/>
      </c>
      <c r="H210" s="2"/>
      <c r="I210" s="2"/>
      <c r="J210" s="2"/>
    </row>
    <row r="211" spans="1:10">
      <c r="A211" s="2"/>
      <c r="B211" s="2"/>
      <c r="C211" s="3" t="str">
        <f>IF(B211="","",IFERROR(VLOOKUP(B211,Players!$A$4:$B$200,2,FALSE),""))</f>
        <v/>
      </c>
      <c r="D211" s="2"/>
      <c r="E211" s="2"/>
      <c r="F211" s="2"/>
      <c r="G211" s="3" t="str">
        <f t="shared" si="3"/>
        <v/>
      </c>
      <c r="H211" s="2"/>
      <c r="I211" s="2"/>
      <c r="J211" s="2"/>
    </row>
    <row r="212" spans="1:10">
      <c r="A212" s="2"/>
      <c r="B212" s="2"/>
      <c r="C212" s="3" t="str">
        <f>IF(B212="","",IFERROR(VLOOKUP(B212,Players!$A$4:$B$200,2,FALSE),""))</f>
        <v/>
      </c>
      <c r="D212" s="2"/>
      <c r="E212" s="2"/>
      <c r="F212" s="2"/>
      <c r="G212" s="3" t="str">
        <f t="shared" si="3"/>
        <v/>
      </c>
      <c r="H212" s="2"/>
      <c r="I212" s="2"/>
      <c r="J212" s="2"/>
    </row>
    <row r="213" spans="1:10">
      <c r="A213" s="2"/>
      <c r="B213" s="2"/>
      <c r="C213" s="3" t="str">
        <f>IF(B213="","",IFERROR(VLOOKUP(B213,Players!$A$4:$B$200,2,FALSE),""))</f>
        <v/>
      </c>
      <c r="D213" s="2"/>
      <c r="E213" s="2"/>
      <c r="F213" s="2"/>
      <c r="G213" s="3" t="str">
        <f t="shared" si="3"/>
        <v/>
      </c>
      <c r="H213" s="2"/>
      <c r="I213" s="2"/>
      <c r="J213" s="2"/>
    </row>
    <row r="214" spans="1:10">
      <c r="A214" s="2"/>
      <c r="B214" s="2"/>
      <c r="C214" s="3" t="str">
        <f>IF(B214="","",IFERROR(VLOOKUP(B214,Players!$A$4:$B$200,2,FALSE),""))</f>
        <v/>
      </c>
      <c r="D214" s="2"/>
      <c r="E214" s="2"/>
      <c r="F214" s="2"/>
      <c r="G214" s="3" t="str">
        <f t="shared" si="3"/>
        <v/>
      </c>
      <c r="H214" s="2"/>
      <c r="I214" s="2"/>
      <c r="J214" s="2"/>
    </row>
    <row r="215" spans="1:10">
      <c r="A215" s="2"/>
      <c r="B215" s="2"/>
      <c r="C215" s="3" t="str">
        <f>IF(B215="","",IFERROR(VLOOKUP(B215,Players!$A$4:$B$200,2,FALSE),""))</f>
        <v/>
      </c>
      <c r="D215" s="2"/>
      <c r="E215" s="2"/>
      <c r="F215" s="2"/>
      <c r="G215" s="3" t="str">
        <f t="shared" si="3"/>
        <v/>
      </c>
      <c r="H215" s="2"/>
      <c r="I215" s="2"/>
      <c r="J215" s="2"/>
    </row>
    <row r="216" spans="1:10">
      <c r="A216" s="2"/>
      <c r="B216" s="2"/>
      <c r="C216" s="3" t="str">
        <f>IF(B216="","",IFERROR(VLOOKUP(B216,Players!$A$4:$B$200,2,FALSE),""))</f>
        <v/>
      </c>
      <c r="D216" s="2"/>
      <c r="E216" s="2"/>
      <c r="F216" s="2"/>
      <c r="G216" s="3" t="str">
        <f t="shared" si="3"/>
        <v/>
      </c>
      <c r="H216" s="2"/>
      <c r="I216" s="2"/>
      <c r="J216" s="2"/>
    </row>
    <row r="217" spans="1:10">
      <c r="A217" s="2"/>
      <c r="B217" s="2"/>
      <c r="C217" s="3" t="str">
        <f>IF(B217="","",IFERROR(VLOOKUP(B217,Players!$A$4:$B$200,2,FALSE),""))</f>
        <v/>
      </c>
      <c r="D217" s="2"/>
      <c r="E217" s="2"/>
      <c r="F217" s="2"/>
      <c r="G217" s="3" t="str">
        <f t="shared" si="3"/>
        <v/>
      </c>
      <c r="H217" s="2"/>
      <c r="I217" s="2"/>
      <c r="J217" s="2"/>
    </row>
    <row r="218" spans="1:10">
      <c r="A218" s="2"/>
      <c r="B218" s="2"/>
      <c r="C218" s="3" t="str">
        <f>IF(B218="","",IFERROR(VLOOKUP(B218,Players!$A$4:$B$200,2,FALSE),""))</f>
        <v/>
      </c>
      <c r="D218" s="2"/>
      <c r="E218" s="2"/>
      <c r="F218" s="2"/>
      <c r="G218" s="3" t="str">
        <f t="shared" si="3"/>
        <v/>
      </c>
      <c r="H218" s="2"/>
      <c r="I218" s="2"/>
      <c r="J218" s="2"/>
    </row>
    <row r="219" spans="1:10">
      <c r="A219" s="2"/>
      <c r="B219" s="2"/>
      <c r="C219" s="3" t="str">
        <f>IF(B219="","",IFERROR(VLOOKUP(B219,Players!$A$4:$B$200,2,FALSE),""))</f>
        <v/>
      </c>
      <c r="D219" s="2"/>
      <c r="E219" s="2"/>
      <c r="F219" s="2"/>
      <c r="G219" s="3" t="str">
        <f t="shared" si="3"/>
        <v/>
      </c>
      <c r="H219" s="2"/>
      <c r="I219" s="2"/>
      <c r="J219" s="2"/>
    </row>
    <row r="220" spans="1:10">
      <c r="A220" s="2"/>
      <c r="B220" s="2"/>
      <c r="C220" s="3" t="str">
        <f>IF(B220="","",IFERROR(VLOOKUP(B220,Players!$A$4:$B$200,2,FALSE),""))</f>
        <v/>
      </c>
      <c r="D220" s="2"/>
      <c r="E220" s="2"/>
      <c r="F220" s="2"/>
      <c r="G220" s="3" t="str">
        <f t="shared" si="3"/>
        <v/>
      </c>
      <c r="H220" s="2"/>
      <c r="I220" s="2"/>
      <c r="J220" s="2"/>
    </row>
    <row r="221" spans="1:10">
      <c r="A221" s="2"/>
      <c r="B221" s="2"/>
      <c r="C221" s="3" t="str">
        <f>IF(B221="","",IFERROR(VLOOKUP(B221,Players!$A$4:$B$200,2,FALSE),""))</f>
        <v/>
      </c>
      <c r="D221" s="2"/>
      <c r="E221" s="2"/>
      <c r="F221" s="2"/>
      <c r="G221" s="3" t="str">
        <f t="shared" si="3"/>
        <v/>
      </c>
      <c r="H221" s="2"/>
      <c r="I221" s="2"/>
      <c r="J221" s="2"/>
    </row>
    <row r="222" spans="1:10">
      <c r="A222" s="2"/>
      <c r="B222" s="2"/>
      <c r="C222" s="3" t="str">
        <f>IF(B222="","",IFERROR(VLOOKUP(B222,Players!$A$4:$B$200,2,FALSE),""))</f>
        <v/>
      </c>
      <c r="D222" s="2"/>
      <c r="E222" s="2"/>
      <c r="F222" s="2"/>
      <c r="G222" s="3" t="str">
        <f t="shared" si="3"/>
        <v/>
      </c>
      <c r="H222" s="2"/>
      <c r="I222" s="2"/>
      <c r="J222" s="2"/>
    </row>
    <row r="223" spans="1:10">
      <c r="A223" s="2"/>
      <c r="B223" s="2"/>
      <c r="C223" s="3" t="str">
        <f>IF(B223="","",IFERROR(VLOOKUP(B223,Players!$A$4:$B$200,2,FALSE),""))</f>
        <v/>
      </c>
      <c r="D223" s="2"/>
      <c r="E223" s="2"/>
      <c r="F223" s="2"/>
      <c r="G223" s="3" t="str">
        <f t="shared" si="3"/>
        <v/>
      </c>
      <c r="H223" s="2"/>
      <c r="I223" s="2"/>
      <c r="J223" s="2"/>
    </row>
    <row r="224" spans="1:10">
      <c r="A224" s="2"/>
      <c r="B224" s="2"/>
      <c r="C224" s="3" t="str">
        <f>IF(B224="","",IFERROR(VLOOKUP(B224,Players!$A$4:$B$200,2,FALSE),""))</f>
        <v/>
      </c>
      <c r="D224" s="2"/>
      <c r="E224" s="2"/>
      <c r="F224" s="2"/>
      <c r="G224" s="3" t="str">
        <f t="shared" si="3"/>
        <v/>
      </c>
      <c r="H224" s="2"/>
      <c r="I224" s="2"/>
      <c r="J224" s="2"/>
    </row>
    <row r="225" spans="1:10">
      <c r="A225" s="2"/>
      <c r="B225" s="2"/>
      <c r="C225" s="3" t="str">
        <f>IF(B225="","",IFERROR(VLOOKUP(B225,Players!$A$4:$B$200,2,FALSE),""))</f>
        <v/>
      </c>
      <c r="D225" s="2"/>
      <c r="E225" s="2"/>
      <c r="F225" s="2"/>
      <c r="G225" s="3" t="str">
        <f t="shared" si="3"/>
        <v/>
      </c>
      <c r="H225" s="2"/>
      <c r="I225" s="2"/>
      <c r="J225" s="2"/>
    </row>
    <row r="226" spans="1:10">
      <c r="A226" s="2"/>
      <c r="B226" s="2"/>
      <c r="C226" s="3" t="str">
        <f>IF(B226="","",IFERROR(VLOOKUP(B226,Players!$A$4:$B$200,2,FALSE),""))</f>
        <v/>
      </c>
      <c r="D226" s="2"/>
      <c r="E226" s="2"/>
      <c r="F226" s="2"/>
      <c r="G226" s="3" t="str">
        <f t="shared" si="3"/>
        <v/>
      </c>
      <c r="H226" s="2"/>
      <c r="I226" s="2"/>
      <c r="J226" s="2"/>
    </row>
    <row r="227" spans="1:10">
      <c r="A227" s="2"/>
      <c r="B227" s="2"/>
      <c r="C227" s="3" t="str">
        <f>IF(B227="","",IFERROR(VLOOKUP(B227,Players!$A$4:$B$200,2,FALSE),""))</f>
        <v/>
      </c>
      <c r="D227" s="2"/>
      <c r="E227" s="2"/>
      <c r="F227" s="2"/>
      <c r="G227" s="3" t="str">
        <f t="shared" si="3"/>
        <v/>
      </c>
      <c r="H227" s="2"/>
      <c r="I227" s="2"/>
      <c r="J227" s="2"/>
    </row>
    <row r="228" spans="1:10">
      <c r="A228" s="2"/>
      <c r="B228" s="2"/>
      <c r="C228" s="3" t="str">
        <f>IF(B228="","",IFERROR(VLOOKUP(B228,Players!$A$4:$B$200,2,FALSE),""))</f>
        <v/>
      </c>
      <c r="D228" s="2"/>
      <c r="E228" s="2"/>
      <c r="F228" s="2"/>
      <c r="G228" s="3" t="str">
        <f t="shared" si="3"/>
        <v/>
      </c>
      <c r="H228" s="2"/>
      <c r="I228" s="2"/>
      <c r="J228" s="2"/>
    </row>
    <row r="229" spans="1:10">
      <c r="A229" s="2"/>
      <c r="B229" s="2"/>
      <c r="C229" s="3" t="str">
        <f>IF(B229="","",IFERROR(VLOOKUP(B229,Players!$A$4:$B$200,2,FALSE),""))</f>
        <v/>
      </c>
      <c r="D229" s="2"/>
      <c r="E229" s="2"/>
      <c r="F229" s="2"/>
      <c r="G229" s="3" t="str">
        <f t="shared" si="3"/>
        <v/>
      </c>
      <c r="H229" s="2"/>
      <c r="I229" s="2"/>
      <c r="J229" s="2"/>
    </row>
    <row r="230" spans="1:10">
      <c r="A230" s="2"/>
      <c r="B230" s="2"/>
      <c r="C230" s="3" t="str">
        <f>IF(B230="","",IFERROR(VLOOKUP(B230,Players!$A$4:$B$200,2,FALSE),""))</f>
        <v/>
      </c>
      <c r="D230" s="2"/>
      <c r="E230" s="2"/>
      <c r="F230" s="2"/>
      <c r="G230" s="3" t="str">
        <f t="shared" si="3"/>
        <v/>
      </c>
      <c r="H230" s="2"/>
      <c r="I230" s="2"/>
      <c r="J230" s="2"/>
    </row>
    <row r="231" spans="1:10">
      <c r="A231" s="2"/>
      <c r="B231" s="2"/>
      <c r="C231" s="3" t="str">
        <f>IF(B231="","",IFERROR(VLOOKUP(B231,Players!$A$4:$B$200,2,FALSE),""))</f>
        <v/>
      </c>
      <c r="D231" s="2"/>
      <c r="E231" s="2"/>
      <c r="F231" s="2"/>
      <c r="G231" s="3" t="str">
        <f t="shared" si="3"/>
        <v/>
      </c>
      <c r="H231" s="2"/>
      <c r="I231" s="2"/>
      <c r="J231" s="2"/>
    </row>
    <row r="232" spans="1:10">
      <c r="A232" s="2"/>
      <c r="B232" s="2"/>
      <c r="C232" s="3" t="str">
        <f>IF(B232="","",IFERROR(VLOOKUP(B232,Players!$A$4:$B$200,2,FALSE),""))</f>
        <v/>
      </c>
      <c r="D232" s="2"/>
      <c r="E232" s="2"/>
      <c r="F232" s="2"/>
      <c r="G232" s="3" t="str">
        <f t="shared" si="3"/>
        <v/>
      </c>
      <c r="H232" s="2"/>
      <c r="I232" s="2"/>
      <c r="J232" s="2"/>
    </row>
    <row r="233" spans="1:10">
      <c r="A233" s="2"/>
      <c r="B233" s="2"/>
      <c r="C233" s="3" t="str">
        <f>IF(B233="","",IFERROR(VLOOKUP(B233,Players!$A$4:$B$200,2,FALSE),""))</f>
        <v/>
      </c>
      <c r="D233" s="2"/>
      <c r="E233" s="2"/>
      <c r="F233" s="2"/>
      <c r="G233" s="3" t="str">
        <f t="shared" si="3"/>
        <v/>
      </c>
      <c r="H233" s="2"/>
      <c r="I233" s="2"/>
      <c r="J233" s="2"/>
    </row>
    <row r="234" spans="1:10">
      <c r="A234" s="2"/>
      <c r="B234" s="2"/>
      <c r="C234" s="3" t="str">
        <f>IF(B234="","",IFERROR(VLOOKUP(B234,Players!$A$4:$B$200,2,FALSE),""))</f>
        <v/>
      </c>
      <c r="D234" s="2"/>
      <c r="E234" s="2"/>
      <c r="F234" s="2"/>
      <c r="G234" s="3" t="str">
        <f t="shared" si="3"/>
        <v/>
      </c>
      <c r="H234" s="2"/>
      <c r="I234" s="2"/>
      <c r="J234" s="2"/>
    </row>
    <row r="235" spans="1:10">
      <c r="A235" s="2"/>
      <c r="B235" s="2"/>
      <c r="C235" s="3" t="str">
        <f>IF(B235="","",IFERROR(VLOOKUP(B235,Players!$A$4:$B$200,2,FALSE),""))</f>
        <v/>
      </c>
      <c r="D235" s="2"/>
      <c r="E235" s="2"/>
      <c r="F235" s="2"/>
      <c r="G235" s="3" t="str">
        <f t="shared" si="3"/>
        <v/>
      </c>
      <c r="H235" s="2"/>
      <c r="I235" s="2"/>
      <c r="J235" s="2"/>
    </row>
    <row r="236" spans="1:10">
      <c r="A236" s="2"/>
      <c r="B236" s="2"/>
      <c r="C236" s="3" t="str">
        <f>IF(B236="","",IFERROR(VLOOKUP(B236,Players!$A$4:$B$200,2,FALSE),""))</f>
        <v/>
      </c>
      <c r="D236" s="2"/>
      <c r="E236" s="2"/>
      <c r="F236" s="2"/>
      <c r="G236" s="3" t="str">
        <f t="shared" si="3"/>
        <v/>
      </c>
      <c r="H236" s="2"/>
      <c r="I236" s="2"/>
      <c r="J236" s="2"/>
    </row>
    <row r="237" spans="1:10">
      <c r="A237" s="2"/>
      <c r="B237" s="2"/>
      <c r="C237" s="3" t="str">
        <f>IF(B237="","",IFERROR(VLOOKUP(B237,Players!$A$4:$B$200,2,FALSE),""))</f>
        <v/>
      </c>
      <c r="D237" s="2"/>
      <c r="E237" s="2"/>
      <c r="F237" s="2"/>
      <c r="G237" s="3" t="str">
        <f t="shared" si="3"/>
        <v/>
      </c>
      <c r="H237" s="2"/>
      <c r="I237" s="2"/>
      <c r="J237" s="2"/>
    </row>
    <row r="238" spans="1:10">
      <c r="A238" s="2"/>
      <c r="B238" s="2"/>
      <c r="C238" s="3" t="str">
        <f>IF(B238="","",IFERROR(VLOOKUP(B238,Players!$A$4:$B$200,2,FALSE),""))</f>
        <v/>
      </c>
      <c r="D238" s="2"/>
      <c r="E238" s="2"/>
      <c r="F238" s="2"/>
      <c r="G238" s="3" t="str">
        <f t="shared" si="3"/>
        <v/>
      </c>
      <c r="H238" s="2"/>
      <c r="I238" s="2"/>
      <c r="J238" s="2"/>
    </row>
    <row r="239" spans="1:10">
      <c r="A239" s="2"/>
      <c r="B239" s="2"/>
      <c r="C239" s="3" t="str">
        <f>IF(B239="","",IFERROR(VLOOKUP(B239,Players!$A$4:$B$200,2,FALSE),""))</f>
        <v/>
      </c>
      <c r="D239" s="2"/>
      <c r="E239" s="2"/>
      <c r="F239" s="2"/>
      <c r="G239" s="3" t="str">
        <f t="shared" si="3"/>
        <v/>
      </c>
      <c r="H239" s="2"/>
      <c r="I239" s="2"/>
      <c r="J239" s="2"/>
    </row>
    <row r="240" spans="1:10">
      <c r="A240" s="2"/>
      <c r="B240" s="2"/>
      <c r="C240" s="3" t="str">
        <f>IF(B240="","",IFERROR(VLOOKUP(B240,Players!$A$4:$B$200,2,FALSE),""))</f>
        <v/>
      </c>
      <c r="D240" s="2"/>
      <c r="E240" s="2"/>
      <c r="F240" s="2"/>
      <c r="G240" s="3" t="str">
        <f t="shared" si="3"/>
        <v/>
      </c>
      <c r="H240" s="2"/>
      <c r="I240" s="2"/>
      <c r="J240" s="2"/>
    </row>
    <row r="241" spans="1:10">
      <c r="A241" s="2"/>
      <c r="B241" s="2"/>
      <c r="C241" s="3" t="str">
        <f>IF(B241="","",IFERROR(VLOOKUP(B241,Players!$A$4:$B$200,2,FALSE),""))</f>
        <v/>
      </c>
      <c r="D241" s="2"/>
      <c r="E241" s="2"/>
      <c r="F241" s="2"/>
      <c r="G241" s="3" t="str">
        <f t="shared" si="3"/>
        <v/>
      </c>
      <c r="H241" s="2"/>
      <c r="I241" s="2"/>
      <c r="J241" s="2"/>
    </row>
    <row r="242" spans="1:10">
      <c r="A242" s="2"/>
      <c r="B242" s="2"/>
      <c r="C242" s="3" t="str">
        <f>IF(B242="","",IFERROR(VLOOKUP(B242,Players!$A$4:$B$200,2,FALSE),""))</f>
        <v/>
      </c>
      <c r="D242" s="2"/>
      <c r="E242" s="2"/>
      <c r="F242" s="2"/>
      <c r="G242" s="3" t="str">
        <f t="shared" si="3"/>
        <v/>
      </c>
      <c r="H242" s="2"/>
      <c r="I242" s="2"/>
      <c r="J242" s="2"/>
    </row>
    <row r="243" spans="1:10">
      <c r="A243" s="2"/>
      <c r="B243" s="2"/>
      <c r="C243" s="3" t="str">
        <f>IF(B243="","",IFERROR(VLOOKUP(B243,Players!$A$4:$B$200,2,FALSE),""))</f>
        <v/>
      </c>
      <c r="D243" s="2"/>
      <c r="E243" s="2"/>
      <c r="F243" s="2"/>
      <c r="G243" s="3" t="str">
        <f t="shared" si="3"/>
        <v/>
      </c>
      <c r="H243" s="2"/>
      <c r="I243" s="2"/>
      <c r="J243" s="2"/>
    </row>
    <row r="244" spans="1:10">
      <c r="A244" s="2"/>
      <c r="B244" s="2"/>
      <c r="C244" s="3" t="str">
        <f>IF(B244="","",IFERROR(VLOOKUP(B244,Players!$A$4:$B$200,2,FALSE),""))</f>
        <v/>
      </c>
      <c r="D244" s="2"/>
      <c r="E244" s="2"/>
      <c r="F244" s="2"/>
      <c r="G244" s="3" t="str">
        <f t="shared" si="3"/>
        <v/>
      </c>
      <c r="H244" s="2"/>
      <c r="I244" s="2"/>
      <c r="J244" s="2"/>
    </row>
    <row r="245" spans="1:10">
      <c r="A245" s="2"/>
      <c r="B245" s="2"/>
      <c r="C245" s="3" t="str">
        <f>IF(B245="","",IFERROR(VLOOKUP(B245,Players!$A$4:$B$200,2,FALSE),""))</f>
        <v/>
      </c>
      <c r="D245" s="2"/>
      <c r="E245" s="2"/>
      <c r="F245" s="2"/>
      <c r="G245" s="3" t="str">
        <f t="shared" si="3"/>
        <v/>
      </c>
      <c r="H245" s="2"/>
      <c r="I245" s="2"/>
      <c r="J245" s="2"/>
    </row>
    <row r="246" spans="1:10">
      <c r="A246" s="2"/>
      <c r="B246" s="2"/>
      <c r="C246" s="3" t="str">
        <f>IF(B246="","",IFERROR(VLOOKUP(B246,Players!$A$4:$B$200,2,FALSE),""))</f>
        <v/>
      </c>
      <c r="D246" s="2"/>
      <c r="E246" s="2"/>
      <c r="F246" s="2"/>
      <c r="G246" s="3" t="str">
        <f t="shared" si="3"/>
        <v/>
      </c>
      <c r="H246" s="2"/>
      <c r="I246" s="2"/>
      <c r="J246" s="2"/>
    </row>
    <row r="247" spans="1:10">
      <c r="A247" s="2"/>
      <c r="B247" s="2"/>
      <c r="C247" s="3" t="str">
        <f>IF(B247="","",IFERROR(VLOOKUP(B247,Players!$A$4:$B$200,2,FALSE),""))</f>
        <v/>
      </c>
      <c r="D247" s="2"/>
      <c r="E247" s="2"/>
      <c r="F247" s="2"/>
      <c r="G247" s="3" t="str">
        <f t="shared" si="3"/>
        <v/>
      </c>
      <c r="H247" s="2"/>
      <c r="I247" s="2"/>
      <c r="J247" s="2"/>
    </row>
    <row r="248" spans="1:10">
      <c r="A248" s="2"/>
      <c r="B248" s="2"/>
      <c r="C248" s="3" t="str">
        <f>IF(B248="","",IFERROR(VLOOKUP(B248,Players!$A$4:$B$200,2,FALSE),""))</f>
        <v/>
      </c>
      <c r="D248" s="2"/>
      <c r="E248" s="2"/>
      <c r="F248" s="2"/>
      <c r="G248" s="3" t="str">
        <f t="shared" si="3"/>
        <v/>
      </c>
      <c r="H248" s="2"/>
      <c r="I248" s="2"/>
      <c r="J248" s="2"/>
    </row>
    <row r="249" spans="1:10">
      <c r="A249" s="2"/>
      <c r="B249" s="2"/>
      <c r="C249" s="3" t="str">
        <f>IF(B249="","",IFERROR(VLOOKUP(B249,Players!$A$4:$B$200,2,FALSE),""))</f>
        <v/>
      </c>
      <c r="D249" s="2"/>
      <c r="E249" s="2"/>
      <c r="F249" s="2"/>
      <c r="G249" s="3" t="str">
        <f t="shared" si="3"/>
        <v/>
      </c>
      <c r="H249" s="2"/>
      <c r="I249" s="2"/>
      <c r="J249" s="2"/>
    </row>
    <row r="250" spans="1:10">
      <c r="A250" s="2"/>
      <c r="B250" s="2"/>
      <c r="C250" s="3" t="str">
        <f>IF(B250="","",IFERROR(VLOOKUP(B250,Players!$A$4:$B$200,2,FALSE),""))</f>
        <v/>
      </c>
      <c r="D250" s="2"/>
      <c r="E250" s="2"/>
      <c r="F250" s="2"/>
      <c r="G250" s="3" t="str">
        <f t="shared" si="3"/>
        <v/>
      </c>
      <c r="H250" s="2"/>
      <c r="I250" s="2"/>
      <c r="J250" s="2"/>
    </row>
    <row r="251" spans="1:10">
      <c r="A251" s="2"/>
      <c r="B251" s="2"/>
      <c r="C251" s="3" t="str">
        <f>IF(B251="","",IFERROR(VLOOKUP(B251,Players!$A$4:$B$200,2,FALSE),""))</f>
        <v/>
      </c>
      <c r="D251" s="2"/>
      <c r="E251" s="2"/>
      <c r="F251" s="2"/>
      <c r="G251" s="3" t="str">
        <f t="shared" si="3"/>
        <v/>
      </c>
      <c r="H251" s="2"/>
      <c r="I251" s="2"/>
      <c r="J251" s="2"/>
    </row>
    <row r="252" spans="1:10">
      <c r="A252" s="2"/>
      <c r="B252" s="2"/>
      <c r="C252" s="3" t="str">
        <f>IF(B252="","",IFERROR(VLOOKUP(B252,Players!$A$4:$B$200,2,FALSE),""))</f>
        <v/>
      </c>
      <c r="D252" s="2"/>
      <c r="E252" s="2"/>
      <c r="F252" s="2"/>
      <c r="G252" s="3" t="str">
        <f t="shared" si="3"/>
        <v/>
      </c>
      <c r="H252" s="2"/>
      <c r="I252" s="2"/>
      <c r="J252" s="2"/>
    </row>
    <row r="253" spans="1:10">
      <c r="A253" s="2"/>
      <c r="B253" s="2"/>
      <c r="C253" s="3" t="str">
        <f>IF(B253="","",IFERROR(VLOOKUP(B253,Players!$A$4:$B$200,2,FALSE),""))</f>
        <v/>
      </c>
      <c r="D253" s="2"/>
      <c r="E253" s="2"/>
      <c r="F253" s="2"/>
      <c r="G253" s="3" t="str">
        <f t="shared" si="3"/>
        <v/>
      </c>
      <c r="H253" s="2"/>
      <c r="I253" s="2"/>
      <c r="J253" s="2"/>
    </row>
    <row r="254" spans="1:10">
      <c r="A254" s="2"/>
      <c r="B254" s="2"/>
      <c r="C254" s="3" t="str">
        <f>IF(B254="","",IFERROR(VLOOKUP(B254,Players!$A$4:$B$200,2,FALSE),""))</f>
        <v/>
      </c>
      <c r="D254" s="2"/>
      <c r="E254" s="2"/>
      <c r="F254" s="2"/>
      <c r="G254" s="3" t="str">
        <f t="shared" si="3"/>
        <v/>
      </c>
      <c r="H254" s="2"/>
      <c r="I254" s="2"/>
      <c r="J254" s="2"/>
    </row>
    <row r="255" spans="1:10">
      <c r="A255" s="2"/>
      <c r="B255" s="2"/>
      <c r="C255" s="3" t="str">
        <f>IF(B255="","",IFERROR(VLOOKUP(B255,Players!$A$4:$B$200,2,FALSE),""))</f>
        <v/>
      </c>
      <c r="D255" s="2"/>
      <c r="E255" s="2"/>
      <c r="F255" s="2"/>
      <c r="G255" s="3" t="str">
        <f t="shared" si="3"/>
        <v/>
      </c>
      <c r="H255" s="2"/>
      <c r="I255" s="2"/>
      <c r="J255" s="2"/>
    </row>
    <row r="256" spans="1:10">
      <c r="A256" s="2"/>
      <c r="B256" s="2"/>
      <c r="C256" s="3" t="str">
        <f>IF(B256="","",IFERROR(VLOOKUP(B256,Players!$A$4:$B$200,2,FALSE),""))</f>
        <v/>
      </c>
      <c r="D256" s="2"/>
      <c r="E256" s="2"/>
      <c r="F256" s="2"/>
      <c r="G256" s="3" t="str">
        <f t="shared" si="3"/>
        <v/>
      </c>
      <c r="H256" s="2"/>
      <c r="I256" s="2"/>
      <c r="J256" s="2"/>
    </row>
    <row r="257" spans="1:10">
      <c r="A257" s="2"/>
      <c r="B257" s="2"/>
      <c r="C257" s="3" t="str">
        <f>IF(B257="","",IFERROR(VLOOKUP(B257,Players!$A$4:$B$200,2,FALSE),""))</f>
        <v/>
      </c>
      <c r="D257" s="2"/>
      <c r="E257" s="2"/>
      <c r="F257" s="2"/>
      <c r="G257" s="3" t="str">
        <f t="shared" si="3"/>
        <v/>
      </c>
      <c r="H257" s="2"/>
      <c r="I257" s="2"/>
      <c r="J257" s="2"/>
    </row>
    <row r="258" spans="1:10">
      <c r="A258" s="2"/>
      <c r="B258" s="2"/>
      <c r="C258" s="3" t="str">
        <f>IF(B258="","",IFERROR(VLOOKUP(B258,Players!$A$4:$B$200,2,FALSE),""))</f>
        <v/>
      </c>
      <c r="D258" s="2"/>
      <c r="E258" s="2"/>
      <c r="F258" s="2"/>
      <c r="G258" s="3" t="str">
        <f t="shared" si="3"/>
        <v/>
      </c>
      <c r="H258" s="2"/>
      <c r="I258" s="2"/>
      <c r="J258" s="2"/>
    </row>
    <row r="259" spans="1:10">
      <c r="A259" s="2"/>
      <c r="B259" s="2"/>
      <c r="C259" s="3" t="str">
        <f>IF(B259="","",IFERROR(VLOOKUP(B259,Players!$A$4:$B$200,2,FALSE),""))</f>
        <v/>
      </c>
      <c r="D259" s="2"/>
      <c r="E259" s="2"/>
      <c r="F259" s="2"/>
      <c r="G259" s="3" t="str">
        <f t="shared" si="3"/>
        <v/>
      </c>
      <c r="H259" s="2"/>
      <c r="I259" s="2"/>
      <c r="J259" s="2"/>
    </row>
    <row r="260" spans="1:10">
      <c r="A260" s="2"/>
      <c r="B260" s="2"/>
      <c r="C260" s="3" t="str">
        <f>IF(B260="","",IFERROR(VLOOKUP(B260,Players!$A$4:$B$200,2,FALSE),""))</f>
        <v/>
      </c>
      <c r="D260" s="2"/>
      <c r="E260" s="2"/>
      <c r="F260" s="2"/>
      <c r="G260" s="3" t="str">
        <f t="shared" ref="G260:G323" si="4">IF(AND(E260="",F260=""),"",SUM(E260:F260))</f>
        <v/>
      </c>
      <c r="H260" s="2"/>
      <c r="I260" s="2"/>
      <c r="J260" s="2"/>
    </row>
    <row r="261" spans="1:10">
      <c r="A261" s="2"/>
      <c r="B261" s="2"/>
      <c r="C261" s="3" t="str">
        <f>IF(B261="","",IFERROR(VLOOKUP(B261,Players!$A$4:$B$200,2,FALSE),""))</f>
        <v/>
      </c>
      <c r="D261" s="2"/>
      <c r="E261" s="2"/>
      <c r="F261" s="2"/>
      <c r="G261" s="3" t="str">
        <f t="shared" si="4"/>
        <v/>
      </c>
      <c r="H261" s="2"/>
      <c r="I261" s="2"/>
      <c r="J261" s="2"/>
    </row>
    <row r="262" spans="1:10">
      <c r="A262" s="2"/>
      <c r="B262" s="2"/>
      <c r="C262" s="3" t="str">
        <f>IF(B262="","",IFERROR(VLOOKUP(B262,Players!$A$4:$B$200,2,FALSE),""))</f>
        <v/>
      </c>
      <c r="D262" s="2"/>
      <c r="E262" s="2"/>
      <c r="F262" s="2"/>
      <c r="G262" s="3" t="str">
        <f t="shared" si="4"/>
        <v/>
      </c>
      <c r="H262" s="2"/>
      <c r="I262" s="2"/>
      <c r="J262" s="2"/>
    </row>
    <row r="263" spans="1:10">
      <c r="A263" s="2"/>
      <c r="B263" s="2"/>
      <c r="C263" s="3" t="str">
        <f>IF(B263="","",IFERROR(VLOOKUP(B263,Players!$A$4:$B$200,2,FALSE),""))</f>
        <v/>
      </c>
      <c r="D263" s="2"/>
      <c r="E263" s="2"/>
      <c r="F263" s="2"/>
      <c r="G263" s="3" t="str">
        <f t="shared" si="4"/>
        <v/>
      </c>
      <c r="H263" s="2"/>
      <c r="I263" s="2"/>
      <c r="J263" s="2"/>
    </row>
    <row r="264" spans="1:10">
      <c r="A264" s="2"/>
      <c r="B264" s="2"/>
      <c r="C264" s="3" t="str">
        <f>IF(B264="","",IFERROR(VLOOKUP(B264,Players!$A$4:$B$200,2,FALSE),""))</f>
        <v/>
      </c>
      <c r="D264" s="2"/>
      <c r="E264" s="2"/>
      <c r="F264" s="2"/>
      <c r="G264" s="3" t="str">
        <f t="shared" si="4"/>
        <v/>
      </c>
      <c r="H264" s="2"/>
      <c r="I264" s="2"/>
      <c r="J264" s="2"/>
    </row>
    <row r="265" spans="1:10">
      <c r="A265" s="2"/>
      <c r="B265" s="2"/>
      <c r="C265" s="3" t="str">
        <f>IF(B265="","",IFERROR(VLOOKUP(B265,Players!$A$4:$B$200,2,FALSE),""))</f>
        <v/>
      </c>
      <c r="D265" s="2"/>
      <c r="E265" s="2"/>
      <c r="F265" s="2"/>
      <c r="G265" s="3" t="str">
        <f t="shared" si="4"/>
        <v/>
      </c>
      <c r="H265" s="2"/>
      <c r="I265" s="2"/>
      <c r="J265" s="2"/>
    </row>
    <row r="266" spans="1:10">
      <c r="A266" s="2"/>
      <c r="B266" s="2"/>
      <c r="C266" s="3" t="str">
        <f>IF(B266="","",IFERROR(VLOOKUP(B266,Players!$A$4:$B$200,2,FALSE),""))</f>
        <v/>
      </c>
      <c r="D266" s="2"/>
      <c r="E266" s="2"/>
      <c r="F266" s="2"/>
      <c r="G266" s="3" t="str">
        <f t="shared" si="4"/>
        <v/>
      </c>
      <c r="H266" s="2"/>
      <c r="I266" s="2"/>
      <c r="J266" s="2"/>
    </row>
    <row r="267" spans="1:10">
      <c r="A267" s="2"/>
      <c r="B267" s="2"/>
      <c r="C267" s="3" t="str">
        <f>IF(B267="","",IFERROR(VLOOKUP(B267,Players!$A$4:$B$200,2,FALSE),""))</f>
        <v/>
      </c>
      <c r="D267" s="2"/>
      <c r="E267" s="2"/>
      <c r="F267" s="2"/>
      <c r="G267" s="3" t="str">
        <f t="shared" si="4"/>
        <v/>
      </c>
      <c r="H267" s="2"/>
      <c r="I267" s="2"/>
      <c r="J267" s="2"/>
    </row>
    <row r="268" spans="1:10">
      <c r="A268" s="2"/>
      <c r="B268" s="2"/>
      <c r="C268" s="3" t="str">
        <f>IF(B268="","",IFERROR(VLOOKUP(B268,Players!$A$4:$B$200,2,FALSE),""))</f>
        <v/>
      </c>
      <c r="D268" s="2"/>
      <c r="E268" s="2"/>
      <c r="F268" s="2"/>
      <c r="G268" s="3" t="str">
        <f t="shared" si="4"/>
        <v/>
      </c>
      <c r="H268" s="2"/>
      <c r="I268" s="2"/>
      <c r="J268" s="2"/>
    </row>
    <row r="269" spans="1:10">
      <c r="A269" s="2"/>
      <c r="B269" s="2"/>
      <c r="C269" s="3" t="str">
        <f>IF(B269="","",IFERROR(VLOOKUP(B269,Players!$A$4:$B$200,2,FALSE),""))</f>
        <v/>
      </c>
      <c r="D269" s="2"/>
      <c r="E269" s="2"/>
      <c r="F269" s="2"/>
      <c r="G269" s="3" t="str">
        <f t="shared" si="4"/>
        <v/>
      </c>
      <c r="H269" s="2"/>
      <c r="I269" s="2"/>
      <c r="J269" s="2"/>
    </row>
    <row r="270" spans="1:10">
      <c r="A270" s="2"/>
      <c r="B270" s="2"/>
      <c r="C270" s="3" t="str">
        <f>IF(B270="","",IFERROR(VLOOKUP(B270,Players!$A$4:$B$200,2,FALSE),""))</f>
        <v/>
      </c>
      <c r="D270" s="2"/>
      <c r="E270" s="2"/>
      <c r="F270" s="2"/>
      <c r="G270" s="3" t="str">
        <f t="shared" si="4"/>
        <v/>
      </c>
      <c r="H270" s="2"/>
      <c r="I270" s="2"/>
      <c r="J270" s="2"/>
    </row>
    <row r="271" spans="1:10">
      <c r="A271" s="2"/>
      <c r="B271" s="2"/>
      <c r="C271" s="3" t="str">
        <f>IF(B271="","",IFERROR(VLOOKUP(B271,Players!$A$4:$B$200,2,FALSE),""))</f>
        <v/>
      </c>
      <c r="D271" s="2"/>
      <c r="E271" s="2"/>
      <c r="F271" s="2"/>
      <c r="G271" s="3" t="str">
        <f t="shared" si="4"/>
        <v/>
      </c>
      <c r="H271" s="2"/>
      <c r="I271" s="2"/>
      <c r="J271" s="2"/>
    </row>
    <row r="272" spans="1:10">
      <c r="A272" s="2"/>
      <c r="B272" s="2"/>
      <c r="C272" s="3" t="str">
        <f>IF(B272="","",IFERROR(VLOOKUP(B272,Players!$A$4:$B$200,2,FALSE),""))</f>
        <v/>
      </c>
      <c r="D272" s="2"/>
      <c r="E272" s="2"/>
      <c r="F272" s="2"/>
      <c r="G272" s="3" t="str">
        <f t="shared" si="4"/>
        <v/>
      </c>
      <c r="H272" s="2"/>
      <c r="I272" s="2"/>
      <c r="J272" s="2"/>
    </row>
    <row r="273" spans="1:10">
      <c r="A273" s="2"/>
      <c r="B273" s="2"/>
      <c r="C273" s="3" t="str">
        <f>IF(B273="","",IFERROR(VLOOKUP(B273,Players!$A$4:$B$200,2,FALSE),""))</f>
        <v/>
      </c>
      <c r="D273" s="2"/>
      <c r="E273" s="2"/>
      <c r="F273" s="2"/>
      <c r="G273" s="3" t="str">
        <f t="shared" si="4"/>
        <v/>
      </c>
      <c r="H273" s="2"/>
      <c r="I273" s="2"/>
      <c r="J273" s="2"/>
    </row>
    <row r="274" spans="1:10">
      <c r="A274" s="2"/>
      <c r="B274" s="2"/>
      <c r="C274" s="3" t="str">
        <f>IF(B274="","",IFERROR(VLOOKUP(B274,Players!$A$4:$B$200,2,FALSE),""))</f>
        <v/>
      </c>
      <c r="D274" s="2"/>
      <c r="E274" s="2"/>
      <c r="F274" s="2"/>
      <c r="G274" s="3" t="str">
        <f t="shared" si="4"/>
        <v/>
      </c>
      <c r="H274" s="2"/>
      <c r="I274" s="2"/>
      <c r="J274" s="2"/>
    </row>
    <row r="275" spans="1:10">
      <c r="A275" s="2"/>
      <c r="B275" s="2"/>
      <c r="C275" s="3" t="str">
        <f>IF(B275="","",IFERROR(VLOOKUP(B275,Players!$A$4:$B$200,2,FALSE),""))</f>
        <v/>
      </c>
      <c r="D275" s="2"/>
      <c r="E275" s="2"/>
      <c r="F275" s="2"/>
      <c r="G275" s="3" t="str">
        <f t="shared" si="4"/>
        <v/>
      </c>
      <c r="H275" s="2"/>
      <c r="I275" s="2"/>
      <c r="J275" s="2"/>
    </row>
    <row r="276" spans="1:10">
      <c r="A276" s="2"/>
      <c r="B276" s="2"/>
      <c r="C276" s="3" t="str">
        <f>IF(B276="","",IFERROR(VLOOKUP(B276,Players!$A$4:$B$200,2,FALSE),""))</f>
        <v/>
      </c>
      <c r="D276" s="2"/>
      <c r="E276" s="2"/>
      <c r="F276" s="2"/>
      <c r="G276" s="3" t="str">
        <f t="shared" si="4"/>
        <v/>
      </c>
      <c r="H276" s="2"/>
      <c r="I276" s="2"/>
      <c r="J276" s="2"/>
    </row>
    <row r="277" spans="1:10">
      <c r="A277" s="2"/>
      <c r="B277" s="2"/>
      <c r="C277" s="3" t="str">
        <f>IF(B277="","",IFERROR(VLOOKUP(B277,Players!$A$4:$B$200,2,FALSE),""))</f>
        <v/>
      </c>
      <c r="D277" s="2"/>
      <c r="E277" s="2"/>
      <c r="F277" s="2"/>
      <c r="G277" s="3" t="str">
        <f t="shared" si="4"/>
        <v/>
      </c>
      <c r="H277" s="2"/>
      <c r="I277" s="2"/>
      <c r="J277" s="2"/>
    </row>
    <row r="278" spans="1:10">
      <c r="A278" s="2"/>
      <c r="B278" s="2"/>
      <c r="C278" s="3" t="str">
        <f>IF(B278="","",IFERROR(VLOOKUP(B278,Players!$A$4:$B$200,2,FALSE),""))</f>
        <v/>
      </c>
      <c r="D278" s="2"/>
      <c r="E278" s="2"/>
      <c r="F278" s="2"/>
      <c r="G278" s="3" t="str">
        <f t="shared" si="4"/>
        <v/>
      </c>
      <c r="H278" s="2"/>
      <c r="I278" s="2"/>
      <c r="J278" s="2"/>
    </row>
    <row r="279" spans="1:10">
      <c r="A279" s="2"/>
      <c r="B279" s="2"/>
      <c r="C279" s="3" t="str">
        <f>IF(B279="","",IFERROR(VLOOKUP(B279,Players!$A$4:$B$200,2,FALSE),""))</f>
        <v/>
      </c>
      <c r="D279" s="2"/>
      <c r="E279" s="2"/>
      <c r="F279" s="2"/>
      <c r="G279" s="3" t="str">
        <f t="shared" si="4"/>
        <v/>
      </c>
      <c r="H279" s="2"/>
      <c r="I279" s="2"/>
      <c r="J279" s="2"/>
    </row>
    <row r="280" spans="1:10">
      <c r="A280" s="2"/>
      <c r="B280" s="2"/>
      <c r="C280" s="3" t="str">
        <f>IF(B280="","",IFERROR(VLOOKUP(B280,Players!$A$4:$B$200,2,FALSE),""))</f>
        <v/>
      </c>
      <c r="D280" s="2"/>
      <c r="E280" s="2"/>
      <c r="F280" s="2"/>
      <c r="G280" s="3" t="str">
        <f t="shared" si="4"/>
        <v/>
      </c>
      <c r="H280" s="2"/>
      <c r="I280" s="2"/>
      <c r="J280" s="2"/>
    </row>
    <row r="281" spans="1:10">
      <c r="A281" s="2"/>
      <c r="B281" s="2"/>
      <c r="C281" s="3" t="str">
        <f>IF(B281="","",IFERROR(VLOOKUP(B281,Players!$A$4:$B$200,2,FALSE),""))</f>
        <v/>
      </c>
      <c r="D281" s="2"/>
      <c r="E281" s="2"/>
      <c r="F281" s="2"/>
      <c r="G281" s="3" t="str">
        <f t="shared" si="4"/>
        <v/>
      </c>
      <c r="H281" s="2"/>
      <c r="I281" s="2"/>
      <c r="J281" s="2"/>
    </row>
    <row r="282" spans="1:10">
      <c r="A282" s="2"/>
      <c r="B282" s="2"/>
      <c r="C282" s="3" t="str">
        <f>IF(B282="","",IFERROR(VLOOKUP(B282,Players!$A$4:$B$200,2,FALSE),""))</f>
        <v/>
      </c>
      <c r="D282" s="2"/>
      <c r="E282" s="2"/>
      <c r="F282" s="2"/>
      <c r="G282" s="3" t="str">
        <f t="shared" si="4"/>
        <v/>
      </c>
      <c r="H282" s="2"/>
      <c r="I282" s="2"/>
      <c r="J282" s="2"/>
    </row>
    <row r="283" spans="1:10">
      <c r="A283" s="2"/>
      <c r="B283" s="2"/>
      <c r="C283" s="3" t="str">
        <f>IF(B283="","",IFERROR(VLOOKUP(B283,Players!$A$4:$B$200,2,FALSE),""))</f>
        <v/>
      </c>
      <c r="D283" s="2"/>
      <c r="E283" s="2"/>
      <c r="F283" s="2"/>
      <c r="G283" s="3" t="str">
        <f t="shared" si="4"/>
        <v/>
      </c>
      <c r="H283" s="2"/>
      <c r="I283" s="2"/>
      <c r="J283" s="2"/>
    </row>
    <row r="284" spans="1:10">
      <c r="A284" s="2"/>
      <c r="B284" s="2"/>
      <c r="C284" s="3" t="str">
        <f>IF(B284="","",IFERROR(VLOOKUP(B284,Players!$A$4:$B$200,2,FALSE),""))</f>
        <v/>
      </c>
      <c r="D284" s="2"/>
      <c r="E284" s="2"/>
      <c r="F284" s="2"/>
      <c r="G284" s="3" t="str">
        <f t="shared" si="4"/>
        <v/>
      </c>
      <c r="H284" s="2"/>
      <c r="I284" s="2"/>
      <c r="J284" s="2"/>
    </row>
    <row r="285" spans="1:10">
      <c r="A285" s="2"/>
      <c r="B285" s="2"/>
      <c r="C285" s="3" t="str">
        <f>IF(B285="","",IFERROR(VLOOKUP(B285,Players!$A$4:$B$200,2,FALSE),""))</f>
        <v/>
      </c>
      <c r="D285" s="2"/>
      <c r="E285" s="2"/>
      <c r="F285" s="2"/>
      <c r="G285" s="3" t="str">
        <f t="shared" si="4"/>
        <v/>
      </c>
      <c r="H285" s="2"/>
      <c r="I285" s="2"/>
      <c r="J285" s="2"/>
    </row>
    <row r="286" spans="1:10">
      <c r="A286" s="2"/>
      <c r="B286" s="2"/>
      <c r="C286" s="3" t="str">
        <f>IF(B286="","",IFERROR(VLOOKUP(B286,Players!$A$4:$B$200,2,FALSE),""))</f>
        <v/>
      </c>
      <c r="D286" s="2"/>
      <c r="E286" s="2"/>
      <c r="F286" s="2"/>
      <c r="G286" s="3" t="str">
        <f t="shared" si="4"/>
        <v/>
      </c>
      <c r="H286" s="2"/>
      <c r="I286" s="2"/>
      <c r="J286" s="2"/>
    </row>
    <row r="287" spans="1:10">
      <c r="A287" s="2"/>
      <c r="B287" s="2"/>
      <c r="C287" s="3" t="str">
        <f>IF(B287="","",IFERROR(VLOOKUP(B287,Players!$A$4:$B$200,2,FALSE),""))</f>
        <v/>
      </c>
      <c r="D287" s="2"/>
      <c r="E287" s="2"/>
      <c r="F287" s="2"/>
      <c r="G287" s="3" t="str">
        <f t="shared" si="4"/>
        <v/>
      </c>
      <c r="H287" s="2"/>
      <c r="I287" s="2"/>
      <c r="J287" s="2"/>
    </row>
    <row r="288" spans="1:10">
      <c r="A288" s="2"/>
      <c r="B288" s="2"/>
      <c r="C288" s="3" t="str">
        <f>IF(B288="","",IFERROR(VLOOKUP(B288,Players!$A$4:$B$200,2,FALSE),""))</f>
        <v/>
      </c>
      <c r="D288" s="2"/>
      <c r="E288" s="2"/>
      <c r="F288" s="2"/>
      <c r="G288" s="3" t="str">
        <f t="shared" si="4"/>
        <v/>
      </c>
      <c r="H288" s="2"/>
      <c r="I288" s="2"/>
      <c r="J288" s="2"/>
    </row>
    <row r="289" spans="1:10">
      <c r="A289" s="2"/>
      <c r="B289" s="2"/>
      <c r="C289" s="3" t="str">
        <f>IF(B289="","",IFERROR(VLOOKUP(B289,Players!$A$4:$B$200,2,FALSE),""))</f>
        <v/>
      </c>
      <c r="D289" s="2"/>
      <c r="E289" s="2"/>
      <c r="F289" s="2"/>
      <c r="G289" s="3" t="str">
        <f t="shared" si="4"/>
        <v/>
      </c>
      <c r="H289" s="2"/>
      <c r="I289" s="2"/>
      <c r="J289" s="2"/>
    </row>
    <row r="290" spans="1:10">
      <c r="A290" s="2"/>
      <c r="B290" s="2"/>
      <c r="C290" s="3" t="str">
        <f>IF(B290="","",IFERROR(VLOOKUP(B290,Players!$A$4:$B$200,2,FALSE),""))</f>
        <v/>
      </c>
      <c r="D290" s="2"/>
      <c r="E290" s="2"/>
      <c r="F290" s="2"/>
      <c r="G290" s="3" t="str">
        <f t="shared" si="4"/>
        <v/>
      </c>
      <c r="H290" s="2"/>
      <c r="I290" s="2"/>
      <c r="J290" s="2"/>
    </row>
    <row r="291" spans="1:10">
      <c r="A291" s="2"/>
      <c r="B291" s="2"/>
      <c r="C291" s="3" t="str">
        <f>IF(B291="","",IFERROR(VLOOKUP(B291,Players!$A$4:$B$200,2,FALSE),""))</f>
        <v/>
      </c>
      <c r="D291" s="2"/>
      <c r="E291" s="2"/>
      <c r="F291" s="2"/>
      <c r="G291" s="3" t="str">
        <f t="shared" si="4"/>
        <v/>
      </c>
      <c r="H291" s="2"/>
      <c r="I291" s="2"/>
      <c r="J291" s="2"/>
    </row>
    <row r="292" spans="1:10">
      <c r="A292" s="2"/>
      <c r="B292" s="2"/>
      <c r="C292" s="3" t="str">
        <f>IF(B292="","",IFERROR(VLOOKUP(B292,Players!$A$4:$B$200,2,FALSE),""))</f>
        <v/>
      </c>
      <c r="D292" s="2"/>
      <c r="E292" s="2"/>
      <c r="F292" s="2"/>
      <c r="G292" s="3" t="str">
        <f t="shared" si="4"/>
        <v/>
      </c>
      <c r="H292" s="2"/>
      <c r="I292" s="2"/>
      <c r="J292" s="2"/>
    </row>
    <row r="293" spans="1:10">
      <c r="A293" s="2"/>
      <c r="B293" s="2"/>
      <c r="C293" s="3" t="str">
        <f>IF(B293="","",IFERROR(VLOOKUP(B293,Players!$A$4:$B$200,2,FALSE),""))</f>
        <v/>
      </c>
      <c r="D293" s="2"/>
      <c r="E293" s="2"/>
      <c r="F293" s="2"/>
      <c r="G293" s="3" t="str">
        <f t="shared" si="4"/>
        <v/>
      </c>
      <c r="H293" s="2"/>
      <c r="I293" s="2"/>
      <c r="J293" s="2"/>
    </row>
    <row r="294" spans="1:10">
      <c r="A294" s="2"/>
      <c r="B294" s="2"/>
      <c r="C294" s="3" t="str">
        <f>IF(B294="","",IFERROR(VLOOKUP(B294,Players!$A$4:$B$200,2,FALSE),""))</f>
        <v/>
      </c>
      <c r="D294" s="2"/>
      <c r="E294" s="2"/>
      <c r="F294" s="2"/>
      <c r="G294" s="3" t="str">
        <f t="shared" si="4"/>
        <v/>
      </c>
      <c r="H294" s="2"/>
      <c r="I294" s="2"/>
      <c r="J294" s="2"/>
    </row>
    <row r="295" spans="1:10">
      <c r="A295" s="2"/>
      <c r="B295" s="2"/>
      <c r="C295" s="3" t="str">
        <f>IF(B295="","",IFERROR(VLOOKUP(B295,Players!$A$4:$B$200,2,FALSE),""))</f>
        <v/>
      </c>
      <c r="D295" s="2"/>
      <c r="E295" s="2"/>
      <c r="F295" s="2"/>
      <c r="G295" s="3" t="str">
        <f t="shared" si="4"/>
        <v/>
      </c>
      <c r="H295" s="2"/>
      <c r="I295" s="2"/>
      <c r="J295" s="2"/>
    </row>
    <row r="296" spans="1:10">
      <c r="A296" s="2"/>
      <c r="B296" s="2"/>
      <c r="C296" s="3" t="str">
        <f>IF(B296="","",IFERROR(VLOOKUP(B296,Players!$A$4:$B$200,2,FALSE),""))</f>
        <v/>
      </c>
      <c r="D296" s="2"/>
      <c r="E296" s="2"/>
      <c r="F296" s="2"/>
      <c r="G296" s="3" t="str">
        <f t="shared" si="4"/>
        <v/>
      </c>
      <c r="H296" s="2"/>
      <c r="I296" s="2"/>
      <c r="J296" s="2"/>
    </row>
    <row r="297" spans="1:10">
      <c r="A297" s="2"/>
      <c r="B297" s="2"/>
      <c r="C297" s="3" t="str">
        <f>IF(B297="","",IFERROR(VLOOKUP(B297,Players!$A$4:$B$200,2,FALSE),""))</f>
        <v/>
      </c>
      <c r="D297" s="2"/>
      <c r="E297" s="2"/>
      <c r="F297" s="2"/>
      <c r="G297" s="3" t="str">
        <f t="shared" si="4"/>
        <v/>
      </c>
      <c r="H297" s="2"/>
      <c r="I297" s="2"/>
      <c r="J297" s="2"/>
    </row>
    <row r="298" spans="1:10">
      <c r="A298" s="2"/>
      <c r="B298" s="2"/>
      <c r="C298" s="3" t="str">
        <f>IF(B298="","",IFERROR(VLOOKUP(B298,Players!$A$4:$B$200,2,FALSE),""))</f>
        <v/>
      </c>
      <c r="D298" s="2"/>
      <c r="E298" s="2"/>
      <c r="F298" s="2"/>
      <c r="G298" s="3" t="str">
        <f t="shared" si="4"/>
        <v/>
      </c>
      <c r="H298" s="2"/>
      <c r="I298" s="2"/>
      <c r="J298" s="2"/>
    </row>
    <row r="299" spans="1:10">
      <c r="A299" s="2"/>
      <c r="B299" s="2"/>
      <c r="C299" s="3" t="str">
        <f>IF(B299="","",IFERROR(VLOOKUP(B299,Players!$A$4:$B$200,2,FALSE),""))</f>
        <v/>
      </c>
      <c r="D299" s="2"/>
      <c r="E299" s="2"/>
      <c r="F299" s="2"/>
      <c r="G299" s="3" t="str">
        <f t="shared" si="4"/>
        <v/>
      </c>
      <c r="H299" s="2"/>
      <c r="I299" s="2"/>
      <c r="J299" s="2"/>
    </row>
    <row r="300" spans="1:10">
      <c r="A300" s="2"/>
      <c r="B300" s="2"/>
      <c r="C300" s="3" t="str">
        <f>IF(B300="","",IFERROR(VLOOKUP(B300,Players!$A$4:$B$200,2,FALSE),""))</f>
        <v/>
      </c>
      <c r="D300" s="2"/>
      <c r="E300" s="2"/>
      <c r="F300" s="2"/>
      <c r="G300" s="3" t="str">
        <f t="shared" si="4"/>
        <v/>
      </c>
      <c r="H300" s="2"/>
      <c r="I300" s="2"/>
      <c r="J300" s="2"/>
    </row>
    <row r="301" spans="1:10">
      <c r="A301" s="2"/>
      <c r="B301" s="2"/>
      <c r="C301" s="3" t="str">
        <f>IF(B301="","",IFERROR(VLOOKUP(B301,Players!$A$4:$B$200,2,FALSE),""))</f>
        <v/>
      </c>
      <c r="D301" s="2"/>
      <c r="E301" s="2"/>
      <c r="F301" s="2"/>
      <c r="G301" s="3" t="str">
        <f t="shared" si="4"/>
        <v/>
      </c>
      <c r="H301" s="2"/>
      <c r="I301" s="2"/>
      <c r="J301" s="2"/>
    </row>
    <row r="302" spans="1:10">
      <c r="A302" s="2"/>
      <c r="B302" s="2"/>
      <c r="C302" s="3" t="str">
        <f>IF(B302="","",IFERROR(VLOOKUP(B302,Players!$A$4:$B$200,2,FALSE),""))</f>
        <v/>
      </c>
      <c r="D302" s="2"/>
      <c r="E302" s="2"/>
      <c r="F302" s="2"/>
      <c r="G302" s="3" t="str">
        <f t="shared" si="4"/>
        <v/>
      </c>
      <c r="H302" s="2"/>
      <c r="I302" s="2"/>
      <c r="J302" s="2"/>
    </row>
    <row r="303" spans="1:10">
      <c r="A303" s="2"/>
      <c r="B303" s="2"/>
      <c r="C303" s="3" t="str">
        <f>IF(B303="","",IFERROR(VLOOKUP(B303,Players!$A$4:$B$200,2,FALSE),""))</f>
        <v/>
      </c>
      <c r="D303" s="2"/>
      <c r="E303" s="2"/>
      <c r="F303" s="2"/>
      <c r="G303" s="3" t="str">
        <f t="shared" si="4"/>
        <v/>
      </c>
      <c r="H303" s="2"/>
      <c r="I303" s="2"/>
      <c r="J303" s="2"/>
    </row>
    <row r="304" spans="1:10">
      <c r="A304" s="2"/>
      <c r="B304" s="2"/>
      <c r="C304" s="3" t="str">
        <f>IF(B304="","",IFERROR(VLOOKUP(B304,Players!$A$4:$B$200,2,FALSE),""))</f>
        <v/>
      </c>
      <c r="D304" s="2"/>
      <c r="E304" s="2"/>
      <c r="F304" s="2"/>
      <c r="G304" s="3" t="str">
        <f t="shared" si="4"/>
        <v/>
      </c>
      <c r="H304" s="2"/>
      <c r="I304" s="2"/>
      <c r="J304" s="2"/>
    </row>
    <row r="305" spans="1:10">
      <c r="A305" s="2"/>
      <c r="B305" s="2"/>
      <c r="C305" s="3" t="str">
        <f>IF(B305="","",IFERROR(VLOOKUP(B305,Players!$A$4:$B$200,2,FALSE),""))</f>
        <v/>
      </c>
      <c r="D305" s="2"/>
      <c r="E305" s="2"/>
      <c r="F305" s="2"/>
      <c r="G305" s="3" t="str">
        <f t="shared" si="4"/>
        <v/>
      </c>
      <c r="H305" s="2"/>
      <c r="I305" s="2"/>
      <c r="J305" s="2"/>
    </row>
    <row r="306" spans="1:10">
      <c r="A306" s="2"/>
      <c r="B306" s="2"/>
      <c r="C306" s="3" t="str">
        <f>IF(B306="","",IFERROR(VLOOKUP(B306,Players!$A$4:$B$200,2,FALSE),""))</f>
        <v/>
      </c>
      <c r="D306" s="2"/>
      <c r="E306" s="2"/>
      <c r="F306" s="2"/>
      <c r="G306" s="3" t="str">
        <f t="shared" si="4"/>
        <v/>
      </c>
      <c r="H306" s="2"/>
      <c r="I306" s="2"/>
      <c r="J306" s="2"/>
    </row>
    <row r="307" spans="1:10">
      <c r="A307" s="2"/>
      <c r="B307" s="2"/>
      <c r="C307" s="3" t="str">
        <f>IF(B307="","",IFERROR(VLOOKUP(B307,Players!$A$4:$B$200,2,FALSE),""))</f>
        <v/>
      </c>
      <c r="D307" s="2"/>
      <c r="E307" s="2"/>
      <c r="F307" s="2"/>
      <c r="G307" s="3" t="str">
        <f t="shared" si="4"/>
        <v/>
      </c>
      <c r="H307" s="2"/>
      <c r="I307" s="2"/>
      <c r="J307" s="2"/>
    </row>
    <row r="308" spans="1:10">
      <c r="A308" s="2"/>
      <c r="B308" s="2"/>
      <c r="C308" s="3" t="str">
        <f>IF(B308="","",IFERROR(VLOOKUP(B308,Players!$A$4:$B$200,2,FALSE),""))</f>
        <v/>
      </c>
      <c r="D308" s="2"/>
      <c r="E308" s="2"/>
      <c r="F308" s="2"/>
      <c r="G308" s="3" t="str">
        <f t="shared" si="4"/>
        <v/>
      </c>
      <c r="H308" s="2"/>
      <c r="I308" s="2"/>
      <c r="J308" s="2"/>
    </row>
    <row r="309" spans="1:10">
      <c r="A309" s="2"/>
      <c r="B309" s="2"/>
      <c r="C309" s="3" t="str">
        <f>IF(B309="","",IFERROR(VLOOKUP(B309,Players!$A$4:$B$200,2,FALSE),""))</f>
        <v/>
      </c>
      <c r="D309" s="2"/>
      <c r="E309" s="2"/>
      <c r="F309" s="2"/>
      <c r="G309" s="3" t="str">
        <f t="shared" si="4"/>
        <v/>
      </c>
      <c r="H309" s="2"/>
      <c r="I309" s="2"/>
      <c r="J309" s="2"/>
    </row>
    <row r="310" spans="1:10">
      <c r="A310" s="2"/>
      <c r="B310" s="2"/>
      <c r="C310" s="3" t="str">
        <f>IF(B310="","",IFERROR(VLOOKUP(B310,Players!$A$4:$B$200,2,FALSE),""))</f>
        <v/>
      </c>
      <c r="D310" s="2"/>
      <c r="E310" s="2"/>
      <c r="F310" s="2"/>
      <c r="G310" s="3" t="str">
        <f t="shared" si="4"/>
        <v/>
      </c>
      <c r="H310" s="2"/>
      <c r="I310" s="2"/>
      <c r="J310" s="2"/>
    </row>
    <row r="311" spans="1:10">
      <c r="A311" s="2"/>
      <c r="B311" s="2"/>
      <c r="C311" s="3" t="str">
        <f>IF(B311="","",IFERROR(VLOOKUP(B311,Players!$A$4:$B$200,2,FALSE),""))</f>
        <v/>
      </c>
      <c r="D311" s="2"/>
      <c r="E311" s="2"/>
      <c r="F311" s="2"/>
      <c r="G311" s="3" t="str">
        <f t="shared" si="4"/>
        <v/>
      </c>
      <c r="H311" s="2"/>
      <c r="I311" s="2"/>
      <c r="J311" s="2"/>
    </row>
    <row r="312" spans="1:10">
      <c r="A312" s="2"/>
      <c r="B312" s="2"/>
      <c r="C312" s="3" t="str">
        <f>IF(B312="","",IFERROR(VLOOKUP(B312,Players!$A$4:$B$200,2,FALSE),""))</f>
        <v/>
      </c>
      <c r="D312" s="2"/>
      <c r="E312" s="2"/>
      <c r="F312" s="2"/>
      <c r="G312" s="3" t="str">
        <f t="shared" si="4"/>
        <v/>
      </c>
      <c r="H312" s="2"/>
      <c r="I312" s="2"/>
      <c r="J312" s="2"/>
    </row>
    <row r="313" spans="1:10">
      <c r="A313" s="2"/>
      <c r="B313" s="2"/>
      <c r="C313" s="3" t="str">
        <f>IF(B313="","",IFERROR(VLOOKUP(B313,Players!$A$4:$B$200,2,FALSE),""))</f>
        <v/>
      </c>
      <c r="D313" s="2"/>
      <c r="E313" s="2"/>
      <c r="F313" s="2"/>
      <c r="G313" s="3" t="str">
        <f t="shared" si="4"/>
        <v/>
      </c>
      <c r="H313" s="2"/>
      <c r="I313" s="2"/>
      <c r="J313" s="2"/>
    </row>
    <row r="314" spans="1:10">
      <c r="A314" s="2"/>
      <c r="B314" s="2"/>
      <c r="C314" s="3" t="str">
        <f>IF(B314="","",IFERROR(VLOOKUP(B314,Players!$A$4:$B$200,2,FALSE),""))</f>
        <v/>
      </c>
      <c r="D314" s="2"/>
      <c r="E314" s="2"/>
      <c r="F314" s="2"/>
      <c r="G314" s="3" t="str">
        <f t="shared" si="4"/>
        <v/>
      </c>
      <c r="H314" s="2"/>
      <c r="I314" s="2"/>
      <c r="J314" s="2"/>
    </row>
    <row r="315" spans="1:10">
      <c r="A315" s="2"/>
      <c r="B315" s="2"/>
      <c r="C315" s="3" t="str">
        <f>IF(B315="","",IFERROR(VLOOKUP(B315,Players!$A$4:$B$200,2,FALSE),""))</f>
        <v/>
      </c>
      <c r="D315" s="2"/>
      <c r="E315" s="2"/>
      <c r="F315" s="2"/>
      <c r="G315" s="3" t="str">
        <f t="shared" si="4"/>
        <v/>
      </c>
      <c r="H315" s="2"/>
      <c r="I315" s="2"/>
      <c r="J315" s="2"/>
    </row>
    <row r="316" spans="1:10">
      <c r="A316" s="2"/>
      <c r="B316" s="2"/>
      <c r="C316" s="3" t="str">
        <f>IF(B316="","",IFERROR(VLOOKUP(B316,Players!$A$4:$B$200,2,FALSE),""))</f>
        <v/>
      </c>
      <c r="D316" s="2"/>
      <c r="E316" s="2"/>
      <c r="F316" s="2"/>
      <c r="G316" s="3" t="str">
        <f t="shared" si="4"/>
        <v/>
      </c>
      <c r="H316" s="2"/>
      <c r="I316" s="2"/>
      <c r="J316" s="2"/>
    </row>
    <row r="317" spans="1:10">
      <c r="A317" s="2"/>
      <c r="B317" s="2"/>
      <c r="C317" s="3" t="str">
        <f>IF(B317="","",IFERROR(VLOOKUP(B317,Players!$A$4:$B$200,2,FALSE),""))</f>
        <v/>
      </c>
      <c r="D317" s="2"/>
      <c r="E317" s="2"/>
      <c r="F317" s="2"/>
      <c r="G317" s="3" t="str">
        <f t="shared" si="4"/>
        <v/>
      </c>
      <c r="H317" s="2"/>
      <c r="I317" s="2"/>
      <c r="J317" s="2"/>
    </row>
    <row r="318" spans="1:10">
      <c r="A318" s="2"/>
      <c r="B318" s="2"/>
      <c r="C318" s="3" t="str">
        <f>IF(B318="","",IFERROR(VLOOKUP(B318,Players!$A$4:$B$200,2,FALSE),""))</f>
        <v/>
      </c>
      <c r="D318" s="2"/>
      <c r="E318" s="2"/>
      <c r="F318" s="2"/>
      <c r="G318" s="3" t="str">
        <f t="shared" si="4"/>
        <v/>
      </c>
      <c r="H318" s="2"/>
      <c r="I318" s="2"/>
      <c r="J318" s="2"/>
    </row>
    <row r="319" spans="1:10">
      <c r="A319" s="2"/>
      <c r="B319" s="2"/>
      <c r="C319" s="3" t="str">
        <f>IF(B319="","",IFERROR(VLOOKUP(B319,Players!$A$4:$B$200,2,FALSE),""))</f>
        <v/>
      </c>
      <c r="D319" s="2"/>
      <c r="E319" s="2"/>
      <c r="F319" s="2"/>
      <c r="G319" s="3" t="str">
        <f t="shared" si="4"/>
        <v/>
      </c>
      <c r="H319" s="2"/>
      <c r="I319" s="2"/>
      <c r="J319" s="2"/>
    </row>
    <row r="320" spans="1:10">
      <c r="A320" s="2"/>
      <c r="B320" s="2"/>
      <c r="C320" s="3" t="str">
        <f>IF(B320="","",IFERROR(VLOOKUP(B320,Players!$A$4:$B$200,2,FALSE),""))</f>
        <v/>
      </c>
      <c r="D320" s="2"/>
      <c r="E320" s="2"/>
      <c r="F320" s="2"/>
      <c r="G320" s="3" t="str">
        <f t="shared" si="4"/>
        <v/>
      </c>
      <c r="H320" s="2"/>
      <c r="I320" s="2"/>
      <c r="J320" s="2"/>
    </row>
    <row r="321" spans="1:10">
      <c r="A321" s="2"/>
      <c r="B321" s="2"/>
      <c r="C321" s="3" t="str">
        <f>IF(B321="","",IFERROR(VLOOKUP(B321,Players!$A$4:$B$200,2,FALSE),""))</f>
        <v/>
      </c>
      <c r="D321" s="2"/>
      <c r="E321" s="2"/>
      <c r="F321" s="2"/>
      <c r="G321" s="3" t="str">
        <f t="shared" si="4"/>
        <v/>
      </c>
      <c r="H321" s="2"/>
      <c r="I321" s="2"/>
      <c r="J321" s="2"/>
    </row>
    <row r="322" spans="1:10">
      <c r="A322" s="2"/>
      <c r="B322" s="2"/>
      <c r="C322" s="3" t="str">
        <f>IF(B322="","",IFERROR(VLOOKUP(B322,Players!$A$4:$B$200,2,FALSE),""))</f>
        <v/>
      </c>
      <c r="D322" s="2"/>
      <c r="E322" s="2"/>
      <c r="F322" s="2"/>
      <c r="G322" s="3" t="str">
        <f t="shared" si="4"/>
        <v/>
      </c>
      <c r="H322" s="2"/>
      <c r="I322" s="2"/>
      <c r="J322" s="2"/>
    </row>
    <row r="323" spans="1:10">
      <c r="A323" s="2"/>
      <c r="B323" s="2"/>
      <c r="C323" s="3" t="str">
        <f>IF(B323="","",IFERROR(VLOOKUP(B323,Players!$A$4:$B$200,2,FALSE),""))</f>
        <v/>
      </c>
      <c r="D323" s="2"/>
      <c r="E323" s="2"/>
      <c r="F323" s="2"/>
      <c r="G323" s="3" t="str">
        <f t="shared" si="4"/>
        <v/>
      </c>
      <c r="H323" s="2"/>
      <c r="I323" s="2"/>
      <c r="J323" s="2"/>
    </row>
    <row r="324" spans="1:10">
      <c r="A324" s="2"/>
      <c r="B324" s="2"/>
      <c r="C324" s="3" t="str">
        <f>IF(B324="","",IFERROR(VLOOKUP(B324,Players!$A$4:$B$200,2,FALSE),""))</f>
        <v/>
      </c>
      <c r="D324" s="2"/>
      <c r="E324" s="2"/>
      <c r="F324" s="2"/>
      <c r="G324" s="3" t="str">
        <f t="shared" ref="G324:G387" si="5">IF(AND(E324="",F324=""),"",SUM(E324:F324))</f>
        <v/>
      </c>
      <c r="H324" s="2"/>
      <c r="I324" s="2"/>
      <c r="J324" s="2"/>
    </row>
    <row r="325" spans="1:10">
      <c r="A325" s="2"/>
      <c r="B325" s="2"/>
      <c r="C325" s="3" t="str">
        <f>IF(B325="","",IFERROR(VLOOKUP(B325,Players!$A$4:$B$200,2,FALSE),""))</f>
        <v/>
      </c>
      <c r="D325" s="2"/>
      <c r="E325" s="2"/>
      <c r="F325" s="2"/>
      <c r="G325" s="3" t="str">
        <f t="shared" si="5"/>
        <v/>
      </c>
      <c r="H325" s="2"/>
      <c r="I325" s="2"/>
      <c r="J325" s="2"/>
    </row>
    <row r="326" spans="1:10">
      <c r="A326" s="2"/>
      <c r="B326" s="2"/>
      <c r="C326" s="3" t="str">
        <f>IF(B326="","",IFERROR(VLOOKUP(B326,Players!$A$4:$B$200,2,FALSE),""))</f>
        <v/>
      </c>
      <c r="D326" s="2"/>
      <c r="E326" s="2"/>
      <c r="F326" s="2"/>
      <c r="G326" s="3" t="str">
        <f t="shared" si="5"/>
        <v/>
      </c>
      <c r="H326" s="2"/>
      <c r="I326" s="2"/>
      <c r="J326" s="2"/>
    </row>
    <row r="327" spans="1:10">
      <c r="A327" s="2"/>
      <c r="B327" s="2"/>
      <c r="C327" s="3" t="str">
        <f>IF(B327="","",IFERROR(VLOOKUP(B327,Players!$A$4:$B$200,2,FALSE),""))</f>
        <v/>
      </c>
      <c r="D327" s="2"/>
      <c r="E327" s="2"/>
      <c r="F327" s="2"/>
      <c r="G327" s="3" t="str">
        <f t="shared" si="5"/>
        <v/>
      </c>
      <c r="H327" s="2"/>
      <c r="I327" s="2"/>
      <c r="J327" s="2"/>
    </row>
    <row r="328" spans="1:10">
      <c r="A328" s="2"/>
      <c r="B328" s="2"/>
      <c r="C328" s="3" t="str">
        <f>IF(B328="","",IFERROR(VLOOKUP(B328,Players!$A$4:$B$200,2,FALSE),""))</f>
        <v/>
      </c>
      <c r="D328" s="2"/>
      <c r="E328" s="2"/>
      <c r="F328" s="2"/>
      <c r="G328" s="3" t="str">
        <f t="shared" si="5"/>
        <v/>
      </c>
      <c r="H328" s="2"/>
      <c r="I328" s="2"/>
      <c r="J328" s="2"/>
    </row>
    <row r="329" spans="1:10">
      <c r="A329" s="2"/>
      <c r="B329" s="2"/>
      <c r="C329" s="3" t="str">
        <f>IF(B329="","",IFERROR(VLOOKUP(B329,Players!$A$4:$B$200,2,FALSE),""))</f>
        <v/>
      </c>
      <c r="D329" s="2"/>
      <c r="E329" s="2"/>
      <c r="F329" s="2"/>
      <c r="G329" s="3" t="str">
        <f t="shared" si="5"/>
        <v/>
      </c>
      <c r="H329" s="2"/>
      <c r="I329" s="2"/>
      <c r="J329" s="2"/>
    </row>
    <row r="330" spans="1:10">
      <c r="A330" s="2"/>
      <c r="B330" s="2"/>
      <c r="C330" s="3" t="str">
        <f>IF(B330="","",IFERROR(VLOOKUP(B330,Players!$A$4:$B$200,2,FALSE),""))</f>
        <v/>
      </c>
      <c r="D330" s="2"/>
      <c r="E330" s="2"/>
      <c r="F330" s="2"/>
      <c r="G330" s="3" t="str">
        <f t="shared" si="5"/>
        <v/>
      </c>
      <c r="H330" s="2"/>
      <c r="I330" s="2"/>
      <c r="J330" s="2"/>
    </row>
    <row r="331" spans="1:10">
      <c r="A331" s="2"/>
      <c r="B331" s="2"/>
      <c r="C331" s="3" t="str">
        <f>IF(B331="","",IFERROR(VLOOKUP(B331,Players!$A$4:$B$200,2,FALSE),""))</f>
        <v/>
      </c>
      <c r="D331" s="2"/>
      <c r="E331" s="2"/>
      <c r="F331" s="2"/>
      <c r="G331" s="3" t="str">
        <f t="shared" si="5"/>
        <v/>
      </c>
      <c r="H331" s="2"/>
      <c r="I331" s="2"/>
      <c r="J331" s="2"/>
    </row>
    <row r="332" spans="1:10">
      <c r="A332" s="2"/>
      <c r="B332" s="2"/>
      <c r="C332" s="3" t="str">
        <f>IF(B332="","",IFERROR(VLOOKUP(B332,Players!$A$4:$B$200,2,FALSE),""))</f>
        <v/>
      </c>
      <c r="D332" s="2"/>
      <c r="E332" s="2"/>
      <c r="F332" s="2"/>
      <c r="G332" s="3" t="str">
        <f t="shared" si="5"/>
        <v/>
      </c>
      <c r="H332" s="2"/>
      <c r="I332" s="2"/>
      <c r="J332" s="2"/>
    </row>
    <row r="333" spans="1:10">
      <c r="A333" s="2"/>
      <c r="B333" s="2"/>
      <c r="C333" s="3" t="str">
        <f>IF(B333="","",IFERROR(VLOOKUP(B333,Players!$A$4:$B$200,2,FALSE),""))</f>
        <v/>
      </c>
      <c r="D333" s="2"/>
      <c r="E333" s="2"/>
      <c r="F333" s="2"/>
      <c r="G333" s="3" t="str">
        <f t="shared" si="5"/>
        <v/>
      </c>
      <c r="H333" s="2"/>
      <c r="I333" s="2"/>
      <c r="J333" s="2"/>
    </row>
    <row r="334" spans="1:10">
      <c r="A334" s="2"/>
      <c r="B334" s="2"/>
      <c r="C334" s="3" t="str">
        <f>IF(B334="","",IFERROR(VLOOKUP(B334,Players!$A$4:$B$200,2,FALSE),""))</f>
        <v/>
      </c>
      <c r="D334" s="2"/>
      <c r="E334" s="2"/>
      <c r="F334" s="2"/>
      <c r="G334" s="3" t="str">
        <f t="shared" si="5"/>
        <v/>
      </c>
      <c r="H334" s="2"/>
      <c r="I334" s="2"/>
      <c r="J334" s="2"/>
    </row>
    <row r="335" spans="1:10">
      <c r="A335" s="2"/>
      <c r="B335" s="2"/>
      <c r="C335" s="3" t="str">
        <f>IF(B335="","",IFERROR(VLOOKUP(B335,Players!$A$4:$B$200,2,FALSE),""))</f>
        <v/>
      </c>
      <c r="D335" s="2"/>
      <c r="E335" s="2"/>
      <c r="F335" s="2"/>
      <c r="G335" s="3" t="str">
        <f t="shared" si="5"/>
        <v/>
      </c>
      <c r="H335" s="2"/>
      <c r="I335" s="2"/>
      <c r="J335" s="2"/>
    </row>
    <row r="336" spans="1:10">
      <c r="A336" s="2"/>
      <c r="B336" s="2"/>
      <c r="C336" s="3" t="str">
        <f>IF(B336="","",IFERROR(VLOOKUP(B336,Players!$A$4:$B$200,2,FALSE),""))</f>
        <v/>
      </c>
      <c r="D336" s="2"/>
      <c r="E336" s="2"/>
      <c r="F336" s="2"/>
      <c r="G336" s="3" t="str">
        <f t="shared" si="5"/>
        <v/>
      </c>
      <c r="H336" s="2"/>
      <c r="I336" s="2"/>
      <c r="J336" s="2"/>
    </row>
    <row r="337" spans="1:10">
      <c r="A337" s="2"/>
      <c r="B337" s="2"/>
      <c r="C337" s="3" t="str">
        <f>IF(B337="","",IFERROR(VLOOKUP(B337,Players!$A$4:$B$200,2,FALSE),""))</f>
        <v/>
      </c>
      <c r="D337" s="2"/>
      <c r="E337" s="2"/>
      <c r="F337" s="2"/>
      <c r="G337" s="3" t="str">
        <f t="shared" si="5"/>
        <v/>
      </c>
      <c r="H337" s="2"/>
      <c r="I337" s="2"/>
      <c r="J337" s="2"/>
    </row>
    <row r="338" spans="1:10">
      <c r="A338" s="2"/>
      <c r="B338" s="2"/>
      <c r="C338" s="3" t="str">
        <f>IF(B338="","",IFERROR(VLOOKUP(B338,Players!$A$4:$B$200,2,FALSE),""))</f>
        <v/>
      </c>
      <c r="D338" s="2"/>
      <c r="E338" s="2"/>
      <c r="F338" s="2"/>
      <c r="G338" s="3" t="str">
        <f t="shared" si="5"/>
        <v/>
      </c>
      <c r="H338" s="2"/>
      <c r="I338" s="2"/>
      <c r="J338" s="2"/>
    </row>
    <row r="339" spans="1:10">
      <c r="A339" s="2"/>
      <c r="B339" s="2"/>
      <c r="C339" s="3" t="str">
        <f>IF(B339="","",IFERROR(VLOOKUP(B339,Players!$A$4:$B$200,2,FALSE),""))</f>
        <v/>
      </c>
      <c r="D339" s="2"/>
      <c r="E339" s="2"/>
      <c r="F339" s="2"/>
      <c r="G339" s="3" t="str">
        <f t="shared" si="5"/>
        <v/>
      </c>
      <c r="H339" s="2"/>
      <c r="I339" s="2"/>
      <c r="J339" s="2"/>
    </row>
    <row r="340" spans="1:10">
      <c r="A340" s="2"/>
      <c r="B340" s="2"/>
      <c r="C340" s="3" t="str">
        <f>IF(B340="","",IFERROR(VLOOKUP(B340,Players!$A$4:$B$200,2,FALSE),""))</f>
        <v/>
      </c>
      <c r="D340" s="2"/>
      <c r="E340" s="2"/>
      <c r="F340" s="2"/>
      <c r="G340" s="3" t="str">
        <f t="shared" si="5"/>
        <v/>
      </c>
      <c r="H340" s="2"/>
      <c r="I340" s="2"/>
      <c r="J340" s="2"/>
    </row>
    <row r="341" spans="1:10">
      <c r="A341" s="2"/>
      <c r="B341" s="2"/>
      <c r="C341" s="3" t="str">
        <f>IF(B341="","",IFERROR(VLOOKUP(B341,Players!$A$4:$B$200,2,FALSE),""))</f>
        <v/>
      </c>
      <c r="D341" s="2"/>
      <c r="E341" s="2"/>
      <c r="F341" s="2"/>
      <c r="G341" s="3" t="str">
        <f t="shared" si="5"/>
        <v/>
      </c>
      <c r="H341" s="2"/>
      <c r="I341" s="2"/>
      <c r="J341" s="2"/>
    </row>
    <row r="342" spans="1:10">
      <c r="A342" s="2"/>
      <c r="B342" s="2"/>
      <c r="C342" s="3" t="str">
        <f>IF(B342="","",IFERROR(VLOOKUP(B342,Players!$A$4:$B$200,2,FALSE),""))</f>
        <v/>
      </c>
      <c r="D342" s="2"/>
      <c r="E342" s="2"/>
      <c r="F342" s="2"/>
      <c r="G342" s="3" t="str">
        <f t="shared" si="5"/>
        <v/>
      </c>
      <c r="H342" s="2"/>
      <c r="I342" s="2"/>
      <c r="J342" s="2"/>
    </row>
    <row r="343" spans="1:10">
      <c r="A343" s="2"/>
      <c r="B343" s="2"/>
      <c r="C343" s="3" t="str">
        <f>IF(B343="","",IFERROR(VLOOKUP(B343,Players!$A$4:$B$200,2,FALSE),""))</f>
        <v/>
      </c>
      <c r="D343" s="2"/>
      <c r="E343" s="2"/>
      <c r="F343" s="2"/>
      <c r="G343" s="3" t="str">
        <f t="shared" si="5"/>
        <v/>
      </c>
      <c r="H343" s="2"/>
      <c r="I343" s="2"/>
      <c r="J343" s="2"/>
    </row>
    <row r="344" spans="1:10">
      <c r="A344" s="2"/>
      <c r="B344" s="2"/>
      <c r="C344" s="3" t="str">
        <f>IF(B344="","",IFERROR(VLOOKUP(B344,Players!$A$4:$B$200,2,FALSE),""))</f>
        <v/>
      </c>
      <c r="D344" s="2"/>
      <c r="E344" s="2"/>
      <c r="F344" s="2"/>
      <c r="G344" s="3" t="str">
        <f t="shared" si="5"/>
        <v/>
      </c>
      <c r="H344" s="2"/>
      <c r="I344" s="2"/>
      <c r="J344" s="2"/>
    </row>
    <row r="345" spans="1:10">
      <c r="A345" s="2"/>
      <c r="B345" s="2"/>
      <c r="C345" s="3" t="str">
        <f>IF(B345="","",IFERROR(VLOOKUP(B345,Players!$A$4:$B$200,2,FALSE),""))</f>
        <v/>
      </c>
      <c r="D345" s="2"/>
      <c r="E345" s="2"/>
      <c r="F345" s="2"/>
      <c r="G345" s="3" t="str">
        <f t="shared" si="5"/>
        <v/>
      </c>
      <c r="H345" s="2"/>
      <c r="I345" s="2"/>
      <c r="J345" s="2"/>
    </row>
    <row r="346" spans="1:10">
      <c r="A346" s="2"/>
      <c r="B346" s="2"/>
      <c r="C346" s="3" t="str">
        <f>IF(B346="","",IFERROR(VLOOKUP(B346,Players!$A$4:$B$200,2,FALSE),""))</f>
        <v/>
      </c>
      <c r="D346" s="2"/>
      <c r="E346" s="2"/>
      <c r="F346" s="2"/>
      <c r="G346" s="3" t="str">
        <f t="shared" si="5"/>
        <v/>
      </c>
      <c r="H346" s="2"/>
      <c r="I346" s="2"/>
      <c r="J346" s="2"/>
    </row>
    <row r="347" spans="1:10">
      <c r="A347" s="2"/>
      <c r="B347" s="2"/>
      <c r="C347" s="3" t="str">
        <f>IF(B347="","",IFERROR(VLOOKUP(B347,Players!$A$4:$B$200,2,FALSE),""))</f>
        <v/>
      </c>
      <c r="D347" s="2"/>
      <c r="E347" s="2"/>
      <c r="F347" s="2"/>
      <c r="G347" s="3" t="str">
        <f t="shared" si="5"/>
        <v/>
      </c>
      <c r="H347" s="2"/>
      <c r="I347" s="2"/>
      <c r="J347" s="2"/>
    </row>
    <row r="348" spans="1:10">
      <c r="A348" s="2"/>
      <c r="B348" s="2"/>
      <c r="C348" s="3" t="str">
        <f>IF(B348="","",IFERROR(VLOOKUP(B348,Players!$A$4:$B$200,2,FALSE),""))</f>
        <v/>
      </c>
      <c r="D348" s="2"/>
      <c r="E348" s="2"/>
      <c r="F348" s="2"/>
      <c r="G348" s="3" t="str">
        <f t="shared" si="5"/>
        <v/>
      </c>
      <c r="H348" s="2"/>
      <c r="I348" s="2"/>
      <c r="J348" s="2"/>
    </row>
    <row r="349" spans="1:10">
      <c r="A349" s="2"/>
      <c r="B349" s="2"/>
      <c r="C349" s="3" t="str">
        <f>IF(B349="","",IFERROR(VLOOKUP(B349,Players!$A$4:$B$200,2,FALSE),""))</f>
        <v/>
      </c>
      <c r="D349" s="2"/>
      <c r="E349" s="2"/>
      <c r="F349" s="2"/>
      <c r="G349" s="3" t="str">
        <f t="shared" si="5"/>
        <v/>
      </c>
      <c r="H349" s="2"/>
      <c r="I349" s="2"/>
      <c r="J349" s="2"/>
    </row>
    <row r="350" spans="1:10">
      <c r="A350" s="2"/>
      <c r="B350" s="2"/>
      <c r="C350" s="3" t="str">
        <f>IF(B350="","",IFERROR(VLOOKUP(B350,Players!$A$4:$B$200,2,FALSE),""))</f>
        <v/>
      </c>
      <c r="D350" s="2"/>
      <c r="E350" s="2"/>
      <c r="F350" s="2"/>
      <c r="G350" s="3" t="str">
        <f t="shared" si="5"/>
        <v/>
      </c>
      <c r="H350" s="2"/>
      <c r="I350" s="2"/>
      <c r="J350" s="2"/>
    </row>
    <row r="351" spans="1:10">
      <c r="A351" s="2"/>
      <c r="B351" s="2"/>
      <c r="C351" s="3" t="str">
        <f>IF(B351="","",IFERROR(VLOOKUP(B351,Players!$A$4:$B$200,2,FALSE),""))</f>
        <v/>
      </c>
      <c r="D351" s="2"/>
      <c r="E351" s="2"/>
      <c r="F351" s="2"/>
      <c r="G351" s="3" t="str">
        <f t="shared" si="5"/>
        <v/>
      </c>
      <c r="H351" s="2"/>
      <c r="I351" s="2"/>
      <c r="J351" s="2"/>
    </row>
    <row r="352" spans="1:10">
      <c r="A352" s="2"/>
      <c r="B352" s="2"/>
      <c r="C352" s="3" t="str">
        <f>IF(B352="","",IFERROR(VLOOKUP(B352,Players!$A$4:$B$200,2,FALSE),""))</f>
        <v/>
      </c>
      <c r="D352" s="2"/>
      <c r="E352" s="2"/>
      <c r="F352" s="2"/>
      <c r="G352" s="3" t="str">
        <f t="shared" si="5"/>
        <v/>
      </c>
      <c r="H352" s="2"/>
      <c r="I352" s="2"/>
      <c r="J352" s="2"/>
    </row>
    <row r="353" spans="1:10">
      <c r="A353" s="2"/>
      <c r="B353" s="2"/>
      <c r="C353" s="3" t="str">
        <f>IF(B353="","",IFERROR(VLOOKUP(B353,Players!$A$4:$B$200,2,FALSE),""))</f>
        <v/>
      </c>
      <c r="D353" s="2"/>
      <c r="E353" s="2"/>
      <c r="F353" s="2"/>
      <c r="G353" s="3" t="str">
        <f t="shared" si="5"/>
        <v/>
      </c>
      <c r="H353" s="2"/>
      <c r="I353" s="2"/>
      <c r="J353" s="2"/>
    </row>
    <row r="354" spans="1:10">
      <c r="A354" s="2"/>
      <c r="B354" s="2"/>
      <c r="C354" s="3" t="str">
        <f>IF(B354="","",IFERROR(VLOOKUP(B354,Players!$A$4:$B$200,2,FALSE),""))</f>
        <v/>
      </c>
      <c r="D354" s="2"/>
      <c r="E354" s="2"/>
      <c r="F354" s="2"/>
      <c r="G354" s="3" t="str">
        <f t="shared" si="5"/>
        <v/>
      </c>
      <c r="H354" s="2"/>
      <c r="I354" s="2"/>
      <c r="J354" s="2"/>
    </row>
    <row r="355" spans="1:10">
      <c r="A355" s="2"/>
      <c r="B355" s="2"/>
      <c r="C355" s="3" t="str">
        <f>IF(B355="","",IFERROR(VLOOKUP(B355,Players!$A$4:$B$200,2,FALSE),""))</f>
        <v/>
      </c>
      <c r="D355" s="2"/>
      <c r="E355" s="2"/>
      <c r="F355" s="2"/>
      <c r="G355" s="3" t="str">
        <f t="shared" si="5"/>
        <v/>
      </c>
      <c r="H355" s="2"/>
      <c r="I355" s="2"/>
      <c r="J355" s="2"/>
    </row>
    <row r="356" spans="1:10">
      <c r="A356" s="2"/>
      <c r="B356" s="2"/>
      <c r="C356" s="3" t="str">
        <f>IF(B356="","",IFERROR(VLOOKUP(B356,Players!$A$4:$B$200,2,FALSE),""))</f>
        <v/>
      </c>
      <c r="D356" s="2"/>
      <c r="E356" s="2"/>
      <c r="F356" s="2"/>
      <c r="G356" s="3" t="str">
        <f t="shared" si="5"/>
        <v/>
      </c>
      <c r="H356" s="2"/>
      <c r="I356" s="2"/>
      <c r="J356" s="2"/>
    </row>
    <row r="357" spans="1:10">
      <c r="A357" s="2"/>
      <c r="B357" s="2"/>
      <c r="C357" s="3" t="str">
        <f>IF(B357="","",IFERROR(VLOOKUP(B357,Players!$A$4:$B$200,2,FALSE),""))</f>
        <v/>
      </c>
      <c r="D357" s="2"/>
      <c r="E357" s="2"/>
      <c r="F357" s="2"/>
      <c r="G357" s="3" t="str">
        <f t="shared" si="5"/>
        <v/>
      </c>
      <c r="H357" s="2"/>
      <c r="I357" s="2"/>
      <c r="J357" s="2"/>
    </row>
    <row r="358" spans="1:10">
      <c r="A358" s="2"/>
      <c r="B358" s="2"/>
      <c r="C358" s="3" t="str">
        <f>IF(B358="","",IFERROR(VLOOKUP(B358,Players!$A$4:$B$200,2,FALSE),""))</f>
        <v/>
      </c>
      <c r="D358" s="2"/>
      <c r="E358" s="2"/>
      <c r="F358" s="2"/>
      <c r="G358" s="3" t="str">
        <f t="shared" si="5"/>
        <v/>
      </c>
      <c r="H358" s="2"/>
      <c r="I358" s="2"/>
      <c r="J358" s="2"/>
    </row>
    <row r="359" spans="1:10">
      <c r="A359" s="2"/>
      <c r="B359" s="2"/>
      <c r="C359" s="3" t="str">
        <f>IF(B359="","",IFERROR(VLOOKUP(B359,Players!$A$4:$B$200,2,FALSE),""))</f>
        <v/>
      </c>
      <c r="D359" s="2"/>
      <c r="E359" s="2"/>
      <c r="F359" s="2"/>
      <c r="G359" s="3" t="str">
        <f t="shared" si="5"/>
        <v/>
      </c>
      <c r="H359" s="2"/>
      <c r="I359" s="2"/>
      <c r="J359" s="2"/>
    </row>
    <row r="360" spans="1:10">
      <c r="A360" s="2"/>
      <c r="B360" s="2"/>
      <c r="C360" s="3" t="str">
        <f>IF(B360="","",IFERROR(VLOOKUP(B360,Players!$A$4:$B$200,2,FALSE),""))</f>
        <v/>
      </c>
      <c r="D360" s="2"/>
      <c r="E360" s="2"/>
      <c r="F360" s="2"/>
      <c r="G360" s="3" t="str">
        <f t="shared" si="5"/>
        <v/>
      </c>
      <c r="H360" s="2"/>
      <c r="I360" s="2"/>
      <c r="J360" s="2"/>
    </row>
    <row r="361" spans="1:10">
      <c r="A361" s="2"/>
      <c r="B361" s="2"/>
      <c r="C361" s="3" t="str">
        <f>IF(B361="","",IFERROR(VLOOKUP(B361,Players!$A$4:$B$200,2,FALSE),""))</f>
        <v/>
      </c>
      <c r="D361" s="2"/>
      <c r="E361" s="2"/>
      <c r="F361" s="2"/>
      <c r="G361" s="3" t="str">
        <f t="shared" si="5"/>
        <v/>
      </c>
      <c r="H361" s="2"/>
      <c r="I361" s="2"/>
      <c r="J361" s="2"/>
    </row>
    <row r="362" spans="1:10">
      <c r="A362" s="2"/>
      <c r="B362" s="2"/>
      <c r="C362" s="3" t="str">
        <f>IF(B362="","",IFERROR(VLOOKUP(B362,Players!$A$4:$B$200,2,FALSE),""))</f>
        <v/>
      </c>
      <c r="D362" s="2"/>
      <c r="E362" s="2"/>
      <c r="F362" s="2"/>
      <c r="G362" s="3" t="str">
        <f t="shared" si="5"/>
        <v/>
      </c>
      <c r="H362" s="2"/>
      <c r="I362" s="2"/>
      <c r="J362" s="2"/>
    </row>
    <row r="363" spans="1:10">
      <c r="A363" s="2"/>
      <c r="B363" s="2"/>
      <c r="C363" s="3" t="str">
        <f>IF(B363="","",IFERROR(VLOOKUP(B363,Players!$A$4:$B$200,2,FALSE),""))</f>
        <v/>
      </c>
      <c r="D363" s="2"/>
      <c r="E363" s="2"/>
      <c r="F363" s="2"/>
      <c r="G363" s="3" t="str">
        <f t="shared" si="5"/>
        <v/>
      </c>
      <c r="H363" s="2"/>
      <c r="I363" s="2"/>
      <c r="J363" s="2"/>
    </row>
    <row r="364" spans="1:10">
      <c r="A364" s="2"/>
      <c r="B364" s="2"/>
      <c r="C364" s="3" t="str">
        <f>IF(B364="","",IFERROR(VLOOKUP(B364,Players!$A$4:$B$200,2,FALSE),""))</f>
        <v/>
      </c>
      <c r="D364" s="2"/>
      <c r="E364" s="2"/>
      <c r="F364" s="2"/>
      <c r="G364" s="3" t="str">
        <f t="shared" si="5"/>
        <v/>
      </c>
      <c r="H364" s="2"/>
      <c r="I364" s="2"/>
      <c r="J364" s="2"/>
    </row>
    <row r="365" spans="1:10">
      <c r="A365" s="2"/>
      <c r="B365" s="2"/>
      <c r="C365" s="3" t="str">
        <f>IF(B365="","",IFERROR(VLOOKUP(B365,Players!$A$4:$B$200,2,FALSE),""))</f>
        <v/>
      </c>
      <c r="D365" s="2"/>
      <c r="E365" s="2"/>
      <c r="F365" s="2"/>
      <c r="G365" s="3" t="str">
        <f t="shared" si="5"/>
        <v/>
      </c>
      <c r="H365" s="2"/>
      <c r="I365" s="2"/>
      <c r="J365" s="2"/>
    </row>
    <row r="366" spans="1:10">
      <c r="A366" s="2"/>
      <c r="B366" s="2"/>
      <c r="C366" s="3" t="str">
        <f>IF(B366="","",IFERROR(VLOOKUP(B366,Players!$A$4:$B$200,2,FALSE),""))</f>
        <v/>
      </c>
      <c r="D366" s="2"/>
      <c r="E366" s="2"/>
      <c r="F366" s="2"/>
      <c r="G366" s="3" t="str">
        <f t="shared" si="5"/>
        <v/>
      </c>
      <c r="H366" s="2"/>
      <c r="I366" s="2"/>
      <c r="J366" s="2"/>
    </row>
    <row r="367" spans="1:10">
      <c r="A367" s="2"/>
      <c r="B367" s="2"/>
      <c r="C367" s="3" t="str">
        <f>IF(B367="","",IFERROR(VLOOKUP(B367,Players!$A$4:$B$200,2,FALSE),""))</f>
        <v/>
      </c>
      <c r="D367" s="2"/>
      <c r="E367" s="2"/>
      <c r="F367" s="2"/>
      <c r="G367" s="3" t="str">
        <f t="shared" si="5"/>
        <v/>
      </c>
      <c r="H367" s="2"/>
      <c r="I367" s="2"/>
      <c r="J367" s="2"/>
    </row>
    <row r="368" spans="1:10">
      <c r="A368" s="2"/>
      <c r="B368" s="2"/>
      <c r="C368" s="3" t="str">
        <f>IF(B368="","",IFERROR(VLOOKUP(B368,Players!$A$4:$B$200,2,FALSE),""))</f>
        <v/>
      </c>
      <c r="D368" s="2"/>
      <c r="E368" s="2"/>
      <c r="F368" s="2"/>
      <c r="G368" s="3" t="str">
        <f t="shared" si="5"/>
        <v/>
      </c>
      <c r="H368" s="2"/>
      <c r="I368" s="2"/>
      <c r="J368" s="2"/>
    </row>
    <row r="369" spans="1:10">
      <c r="A369" s="2"/>
      <c r="B369" s="2"/>
      <c r="C369" s="3" t="str">
        <f>IF(B369="","",IFERROR(VLOOKUP(B369,Players!$A$4:$B$200,2,FALSE),""))</f>
        <v/>
      </c>
      <c r="D369" s="2"/>
      <c r="E369" s="2"/>
      <c r="F369" s="2"/>
      <c r="G369" s="3" t="str">
        <f t="shared" si="5"/>
        <v/>
      </c>
      <c r="H369" s="2"/>
      <c r="I369" s="2"/>
      <c r="J369" s="2"/>
    </row>
    <row r="370" spans="1:10">
      <c r="A370" s="2"/>
      <c r="B370" s="2"/>
      <c r="C370" s="3" t="str">
        <f>IF(B370="","",IFERROR(VLOOKUP(B370,Players!$A$4:$B$200,2,FALSE),""))</f>
        <v/>
      </c>
      <c r="D370" s="2"/>
      <c r="E370" s="2"/>
      <c r="F370" s="2"/>
      <c r="G370" s="3" t="str">
        <f t="shared" si="5"/>
        <v/>
      </c>
      <c r="H370" s="2"/>
      <c r="I370" s="2"/>
      <c r="J370" s="2"/>
    </row>
    <row r="371" spans="1:10">
      <c r="A371" s="2"/>
      <c r="B371" s="2"/>
      <c r="C371" s="3" t="str">
        <f>IF(B371="","",IFERROR(VLOOKUP(B371,Players!$A$4:$B$200,2,FALSE),""))</f>
        <v/>
      </c>
      <c r="D371" s="2"/>
      <c r="E371" s="2"/>
      <c r="F371" s="2"/>
      <c r="G371" s="3" t="str">
        <f t="shared" si="5"/>
        <v/>
      </c>
      <c r="H371" s="2"/>
      <c r="I371" s="2"/>
      <c r="J371" s="2"/>
    </row>
    <row r="372" spans="1:10">
      <c r="A372" s="2"/>
      <c r="B372" s="2"/>
      <c r="C372" s="3" t="str">
        <f>IF(B372="","",IFERROR(VLOOKUP(B372,Players!$A$4:$B$200,2,FALSE),""))</f>
        <v/>
      </c>
      <c r="D372" s="2"/>
      <c r="E372" s="2"/>
      <c r="F372" s="2"/>
      <c r="G372" s="3" t="str">
        <f t="shared" si="5"/>
        <v/>
      </c>
      <c r="H372" s="2"/>
      <c r="I372" s="2"/>
      <c r="J372" s="2"/>
    </row>
    <row r="373" spans="1:10">
      <c r="A373" s="2"/>
      <c r="B373" s="2"/>
      <c r="C373" s="3" t="str">
        <f>IF(B373="","",IFERROR(VLOOKUP(B373,Players!$A$4:$B$200,2,FALSE),""))</f>
        <v/>
      </c>
      <c r="D373" s="2"/>
      <c r="E373" s="2"/>
      <c r="F373" s="2"/>
      <c r="G373" s="3" t="str">
        <f t="shared" si="5"/>
        <v/>
      </c>
      <c r="H373" s="2"/>
      <c r="I373" s="2"/>
      <c r="J373" s="2"/>
    </row>
    <row r="374" spans="1:10">
      <c r="A374" s="2"/>
      <c r="B374" s="2"/>
      <c r="C374" s="3" t="str">
        <f>IF(B374="","",IFERROR(VLOOKUP(B374,Players!$A$4:$B$200,2,FALSE),""))</f>
        <v/>
      </c>
      <c r="D374" s="2"/>
      <c r="E374" s="2"/>
      <c r="F374" s="2"/>
      <c r="G374" s="3" t="str">
        <f t="shared" si="5"/>
        <v/>
      </c>
      <c r="H374" s="2"/>
      <c r="I374" s="2"/>
      <c r="J374" s="2"/>
    </row>
    <row r="375" spans="1:10">
      <c r="A375" s="2"/>
      <c r="B375" s="2"/>
      <c r="C375" s="3" t="str">
        <f>IF(B375="","",IFERROR(VLOOKUP(B375,Players!$A$4:$B$200,2,FALSE),""))</f>
        <v/>
      </c>
      <c r="D375" s="2"/>
      <c r="E375" s="2"/>
      <c r="F375" s="2"/>
      <c r="G375" s="3" t="str">
        <f t="shared" si="5"/>
        <v/>
      </c>
      <c r="H375" s="2"/>
      <c r="I375" s="2"/>
      <c r="J375" s="2"/>
    </row>
    <row r="376" spans="1:10">
      <c r="A376" s="2"/>
      <c r="B376" s="2"/>
      <c r="C376" s="3" t="str">
        <f>IF(B376="","",IFERROR(VLOOKUP(B376,Players!$A$4:$B$200,2,FALSE),""))</f>
        <v/>
      </c>
      <c r="D376" s="2"/>
      <c r="E376" s="2"/>
      <c r="F376" s="2"/>
      <c r="G376" s="3" t="str">
        <f t="shared" si="5"/>
        <v/>
      </c>
      <c r="H376" s="2"/>
      <c r="I376" s="2"/>
      <c r="J376" s="2"/>
    </row>
    <row r="377" spans="1:10">
      <c r="A377" s="2"/>
      <c r="B377" s="2"/>
      <c r="C377" s="3" t="str">
        <f>IF(B377="","",IFERROR(VLOOKUP(B377,Players!$A$4:$B$200,2,FALSE),""))</f>
        <v/>
      </c>
      <c r="D377" s="2"/>
      <c r="E377" s="2"/>
      <c r="F377" s="2"/>
      <c r="G377" s="3" t="str">
        <f t="shared" si="5"/>
        <v/>
      </c>
      <c r="H377" s="2"/>
      <c r="I377" s="2"/>
      <c r="J377" s="2"/>
    </row>
    <row r="378" spans="1:10">
      <c r="A378" s="2"/>
      <c r="B378" s="2"/>
      <c r="C378" s="3" t="str">
        <f>IF(B378="","",IFERROR(VLOOKUP(B378,Players!$A$4:$B$200,2,FALSE),""))</f>
        <v/>
      </c>
      <c r="D378" s="2"/>
      <c r="E378" s="2"/>
      <c r="F378" s="2"/>
      <c r="G378" s="3" t="str">
        <f t="shared" si="5"/>
        <v/>
      </c>
      <c r="H378" s="2"/>
      <c r="I378" s="2"/>
      <c r="J378" s="2"/>
    </row>
    <row r="379" spans="1:10">
      <c r="A379" s="2"/>
      <c r="B379" s="2"/>
      <c r="C379" s="3" t="str">
        <f>IF(B379="","",IFERROR(VLOOKUP(B379,Players!$A$4:$B$200,2,FALSE),""))</f>
        <v/>
      </c>
      <c r="D379" s="2"/>
      <c r="E379" s="2"/>
      <c r="F379" s="2"/>
      <c r="G379" s="3" t="str">
        <f t="shared" si="5"/>
        <v/>
      </c>
      <c r="H379" s="2"/>
      <c r="I379" s="2"/>
      <c r="J379" s="2"/>
    </row>
    <row r="380" spans="1:10">
      <c r="A380" s="2"/>
      <c r="B380" s="2"/>
      <c r="C380" s="3" t="str">
        <f>IF(B380="","",IFERROR(VLOOKUP(B380,Players!$A$4:$B$200,2,FALSE),""))</f>
        <v/>
      </c>
      <c r="D380" s="2"/>
      <c r="E380" s="2"/>
      <c r="F380" s="2"/>
      <c r="G380" s="3" t="str">
        <f t="shared" si="5"/>
        <v/>
      </c>
      <c r="H380" s="2"/>
      <c r="I380" s="2"/>
      <c r="J380" s="2"/>
    </row>
    <row r="381" spans="1:10">
      <c r="A381" s="2"/>
      <c r="B381" s="2"/>
      <c r="C381" s="3" t="str">
        <f>IF(B381="","",IFERROR(VLOOKUP(B381,Players!$A$4:$B$200,2,FALSE),""))</f>
        <v/>
      </c>
      <c r="D381" s="2"/>
      <c r="E381" s="2"/>
      <c r="F381" s="2"/>
      <c r="G381" s="3" t="str">
        <f t="shared" si="5"/>
        <v/>
      </c>
      <c r="H381" s="2"/>
      <c r="I381" s="2"/>
      <c r="J381" s="2"/>
    </row>
    <row r="382" spans="1:10">
      <c r="A382" s="2"/>
      <c r="B382" s="2"/>
      <c r="C382" s="3" t="str">
        <f>IF(B382="","",IFERROR(VLOOKUP(B382,Players!$A$4:$B$200,2,FALSE),""))</f>
        <v/>
      </c>
      <c r="D382" s="2"/>
      <c r="E382" s="2"/>
      <c r="F382" s="2"/>
      <c r="G382" s="3" t="str">
        <f t="shared" si="5"/>
        <v/>
      </c>
      <c r="H382" s="2"/>
      <c r="I382" s="2"/>
      <c r="J382" s="2"/>
    </row>
    <row r="383" spans="1:10">
      <c r="A383" s="2"/>
      <c r="B383" s="2"/>
      <c r="C383" s="3" t="str">
        <f>IF(B383="","",IFERROR(VLOOKUP(B383,Players!$A$4:$B$200,2,FALSE),""))</f>
        <v/>
      </c>
      <c r="D383" s="2"/>
      <c r="E383" s="2"/>
      <c r="F383" s="2"/>
      <c r="G383" s="3" t="str">
        <f t="shared" si="5"/>
        <v/>
      </c>
      <c r="H383" s="2"/>
      <c r="I383" s="2"/>
      <c r="J383" s="2"/>
    </row>
    <row r="384" spans="1:10">
      <c r="A384" s="2"/>
      <c r="B384" s="2"/>
      <c r="C384" s="3" t="str">
        <f>IF(B384="","",IFERROR(VLOOKUP(B384,Players!$A$4:$B$200,2,FALSE),""))</f>
        <v/>
      </c>
      <c r="D384" s="2"/>
      <c r="E384" s="2"/>
      <c r="F384" s="2"/>
      <c r="G384" s="3" t="str">
        <f t="shared" si="5"/>
        <v/>
      </c>
      <c r="H384" s="2"/>
      <c r="I384" s="2"/>
      <c r="J384" s="2"/>
    </row>
    <row r="385" spans="1:10">
      <c r="A385" s="2"/>
      <c r="B385" s="2"/>
      <c r="C385" s="3" t="str">
        <f>IF(B385="","",IFERROR(VLOOKUP(B385,Players!$A$4:$B$200,2,FALSE),""))</f>
        <v/>
      </c>
      <c r="D385" s="2"/>
      <c r="E385" s="2"/>
      <c r="F385" s="2"/>
      <c r="G385" s="3" t="str">
        <f t="shared" si="5"/>
        <v/>
      </c>
      <c r="H385" s="2"/>
      <c r="I385" s="2"/>
      <c r="J385" s="2"/>
    </row>
    <row r="386" spans="1:10">
      <c r="A386" s="2"/>
      <c r="B386" s="2"/>
      <c r="C386" s="3" t="str">
        <f>IF(B386="","",IFERROR(VLOOKUP(B386,Players!$A$4:$B$200,2,FALSE),""))</f>
        <v/>
      </c>
      <c r="D386" s="2"/>
      <c r="E386" s="2"/>
      <c r="F386" s="2"/>
      <c r="G386" s="3" t="str">
        <f t="shared" si="5"/>
        <v/>
      </c>
      <c r="H386" s="2"/>
      <c r="I386" s="2"/>
      <c r="J386" s="2"/>
    </row>
    <row r="387" spans="1:10">
      <c r="A387" s="2"/>
      <c r="B387" s="2"/>
      <c r="C387" s="3" t="str">
        <f>IF(B387="","",IFERROR(VLOOKUP(B387,Players!$A$4:$B$200,2,FALSE),""))</f>
        <v/>
      </c>
      <c r="D387" s="2"/>
      <c r="E387" s="2"/>
      <c r="F387" s="2"/>
      <c r="G387" s="3" t="str">
        <f t="shared" si="5"/>
        <v/>
      </c>
      <c r="H387" s="2"/>
      <c r="I387" s="2"/>
      <c r="J387" s="2"/>
    </row>
    <row r="388" spans="1:10">
      <c r="A388" s="2"/>
      <c r="B388" s="2"/>
      <c r="C388" s="3" t="str">
        <f>IF(B388="","",IFERROR(VLOOKUP(B388,Players!$A$4:$B$200,2,FALSE),""))</f>
        <v/>
      </c>
      <c r="D388" s="2"/>
      <c r="E388" s="2"/>
      <c r="F388" s="2"/>
      <c r="G388" s="3" t="str">
        <f t="shared" ref="G388:G451" si="6">IF(AND(E388="",F388=""),"",SUM(E388:F388))</f>
        <v/>
      </c>
      <c r="H388" s="2"/>
      <c r="I388" s="2"/>
      <c r="J388" s="2"/>
    </row>
    <row r="389" spans="1:10">
      <c r="A389" s="2"/>
      <c r="B389" s="2"/>
      <c r="C389" s="3" t="str">
        <f>IF(B389="","",IFERROR(VLOOKUP(B389,Players!$A$4:$B$200,2,FALSE),""))</f>
        <v/>
      </c>
      <c r="D389" s="2"/>
      <c r="E389" s="2"/>
      <c r="F389" s="2"/>
      <c r="G389" s="3" t="str">
        <f t="shared" si="6"/>
        <v/>
      </c>
      <c r="H389" s="2"/>
      <c r="I389" s="2"/>
      <c r="J389" s="2"/>
    </row>
    <row r="390" spans="1:10">
      <c r="A390" s="2"/>
      <c r="B390" s="2"/>
      <c r="C390" s="3" t="str">
        <f>IF(B390="","",IFERROR(VLOOKUP(B390,Players!$A$4:$B$200,2,FALSE),""))</f>
        <v/>
      </c>
      <c r="D390" s="2"/>
      <c r="E390" s="2"/>
      <c r="F390" s="2"/>
      <c r="G390" s="3" t="str">
        <f t="shared" si="6"/>
        <v/>
      </c>
      <c r="H390" s="2"/>
      <c r="I390" s="2"/>
      <c r="J390" s="2"/>
    </row>
    <row r="391" spans="1:10">
      <c r="A391" s="2"/>
      <c r="B391" s="2"/>
      <c r="C391" s="3" t="str">
        <f>IF(B391="","",IFERROR(VLOOKUP(B391,Players!$A$4:$B$200,2,FALSE),""))</f>
        <v/>
      </c>
      <c r="D391" s="2"/>
      <c r="E391" s="2"/>
      <c r="F391" s="2"/>
      <c r="G391" s="3" t="str">
        <f t="shared" si="6"/>
        <v/>
      </c>
      <c r="H391" s="2"/>
      <c r="I391" s="2"/>
      <c r="J391" s="2"/>
    </row>
    <row r="392" spans="1:10">
      <c r="A392" s="2"/>
      <c r="B392" s="2"/>
      <c r="C392" s="3" t="str">
        <f>IF(B392="","",IFERROR(VLOOKUP(B392,Players!$A$4:$B$200,2,FALSE),""))</f>
        <v/>
      </c>
      <c r="D392" s="2"/>
      <c r="E392" s="2"/>
      <c r="F392" s="2"/>
      <c r="G392" s="3" t="str">
        <f t="shared" si="6"/>
        <v/>
      </c>
      <c r="H392" s="2"/>
      <c r="I392" s="2"/>
      <c r="J392" s="2"/>
    </row>
    <row r="393" spans="1:10">
      <c r="A393" s="2"/>
      <c r="B393" s="2"/>
      <c r="C393" s="3" t="str">
        <f>IF(B393="","",IFERROR(VLOOKUP(B393,Players!$A$4:$B$200,2,FALSE),""))</f>
        <v/>
      </c>
      <c r="D393" s="2"/>
      <c r="E393" s="2"/>
      <c r="F393" s="2"/>
      <c r="G393" s="3" t="str">
        <f t="shared" si="6"/>
        <v/>
      </c>
      <c r="H393" s="2"/>
      <c r="I393" s="2"/>
      <c r="J393" s="2"/>
    </row>
    <row r="394" spans="1:10">
      <c r="A394" s="2"/>
      <c r="B394" s="2"/>
      <c r="C394" s="3" t="str">
        <f>IF(B394="","",IFERROR(VLOOKUP(B394,Players!$A$4:$B$200,2,FALSE),""))</f>
        <v/>
      </c>
      <c r="D394" s="2"/>
      <c r="E394" s="2"/>
      <c r="F394" s="2"/>
      <c r="G394" s="3" t="str">
        <f t="shared" si="6"/>
        <v/>
      </c>
      <c r="H394" s="2"/>
      <c r="I394" s="2"/>
      <c r="J394" s="2"/>
    </row>
    <row r="395" spans="1:10">
      <c r="A395" s="2"/>
      <c r="B395" s="2"/>
      <c r="C395" s="3" t="str">
        <f>IF(B395="","",IFERROR(VLOOKUP(B395,Players!$A$4:$B$200,2,FALSE),""))</f>
        <v/>
      </c>
      <c r="D395" s="2"/>
      <c r="E395" s="2"/>
      <c r="F395" s="2"/>
      <c r="G395" s="3" t="str">
        <f t="shared" si="6"/>
        <v/>
      </c>
      <c r="H395" s="2"/>
      <c r="I395" s="2"/>
      <c r="J395" s="2"/>
    </row>
    <row r="396" spans="1:10">
      <c r="A396" s="2"/>
      <c r="B396" s="2"/>
      <c r="C396" s="3" t="str">
        <f>IF(B396="","",IFERROR(VLOOKUP(B396,Players!$A$4:$B$200,2,FALSE),""))</f>
        <v/>
      </c>
      <c r="D396" s="2"/>
      <c r="E396" s="2"/>
      <c r="F396" s="2"/>
      <c r="G396" s="3" t="str">
        <f t="shared" si="6"/>
        <v/>
      </c>
      <c r="H396" s="2"/>
      <c r="I396" s="2"/>
      <c r="J396" s="2"/>
    </row>
    <row r="397" spans="1:10">
      <c r="A397" s="2"/>
      <c r="B397" s="2"/>
      <c r="C397" s="3" t="str">
        <f>IF(B397="","",IFERROR(VLOOKUP(B397,Players!$A$4:$B$200,2,FALSE),""))</f>
        <v/>
      </c>
      <c r="D397" s="2"/>
      <c r="E397" s="2"/>
      <c r="F397" s="2"/>
      <c r="G397" s="3" t="str">
        <f t="shared" si="6"/>
        <v/>
      </c>
      <c r="H397" s="2"/>
      <c r="I397" s="2"/>
      <c r="J397" s="2"/>
    </row>
    <row r="398" spans="1:10">
      <c r="A398" s="2"/>
      <c r="B398" s="2"/>
      <c r="C398" s="3" t="str">
        <f>IF(B398="","",IFERROR(VLOOKUP(B398,Players!$A$4:$B$200,2,FALSE),""))</f>
        <v/>
      </c>
      <c r="D398" s="2"/>
      <c r="E398" s="2"/>
      <c r="F398" s="2"/>
      <c r="G398" s="3" t="str">
        <f t="shared" si="6"/>
        <v/>
      </c>
      <c r="H398" s="2"/>
      <c r="I398" s="2"/>
      <c r="J398" s="2"/>
    </row>
    <row r="399" spans="1:10">
      <c r="A399" s="2"/>
      <c r="B399" s="2"/>
      <c r="C399" s="3" t="str">
        <f>IF(B399="","",IFERROR(VLOOKUP(B399,Players!$A$4:$B$200,2,FALSE),""))</f>
        <v/>
      </c>
      <c r="D399" s="2"/>
      <c r="E399" s="2"/>
      <c r="F399" s="2"/>
      <c r="G399" s="3" t="str">
        <f t="shared" si="6"/>
        <v/>
      </c>
      <c r="H399" s="2"/>
      <c r="I399" s="2"/>
      <c r="J399" s="2"/>
    </row>
    <row r="400" spans="1:10">
      <c r="A400" s="2"/>
      <c r="B400" s="2"/>
      <c r="C400" s="3" t="str">
        <f>IF(B400="","",IFERROR(VLOOKUP(B400,Players!$A$4:$B$200,2,FALSE),""))</f>
        <v/>
      </c>
      <c r="D400" s="2"/>
      <c r="E400" s="2"/>
      <c r="F400" s="2"/>
      <c r="G400" s="3" t="str">
        <f t="shared" si="6"/>
        <v/>
      </c>
      <c r="H400" s="2"/>
      <c r="I400" s="2"/>
      <c r="J400" s="2"/>
    </row>
    <row r="401" spans="1:10">
      <c r="A401" s="2"/>
      <c r="B401" s="2"/>
      <c r="C401" s="3" t="str">
        <f>IF(B401="","",IFERROR(VLOOKUP(B401,Players!$A$4:$B$200,2,FALSE),""))</f>
        <v/>
      </c>
      <c r="D401" s="2"/>
      <c r="E401" s="2"/>
      <c r="F401" s="2"/>
      <c r="G401" s="3" t="str">
        <f t="shared" si="6"/>
        <v/>
      </c>
      <c r="H401" s="2"/>
      <c r="I401" s="2"/>
      <c r="J401" s="2"/>
    </row>
    <row r="402" spans="1:10">
      <c r="A402" s="2"/>
      <c r="B402" s="2"/>
      <c r="C402" s="3" t="str">
        <f>IF(B402="","",IFERROR(VLOOKUP(B402,Players!$A$4:$B$200,2,FALSE),""))</f>
        <v/>
      </c>
      <c r="D402" s="2"/>
      <c r="E402" s="2"/>
      <c r="F402" s="2"/>
      <c r="G402" s="3" t="str">
        <f t="shared" si="6"/>
        <v/>
      </c>
      <c r="H402" s="2"/>
      <c r="I402" s="2"/>
      <c r="J402" s="2"/>
    </row>
    <row r="403" spans="1:10">
      <c r="A403" s="2"/>
      <c r="B403" s="2"/>
      <c r="C403" s="3" t="str">
        <f>IF(B403="","",IFERROR(VLOOKUP(B403,Players!$A$4:$B$200,2,FALSE),""))</f>
        <v/>
      </c>
      <c r="D403" s="2"/>
      <c r="E403" s="2"/>
      <c r="F403" s="2"/>
      <c r="G403" s="3" t="str">
        <f t="shared" si="6"/>
        <v/>
      </c>
      <c r="H403" s="2"/>
      <c r="I403" s="2"/>
      <c r="J403" s="2"/>
    </row>
    <row r="404" spans="1:10">
      <c r="A404" s="2"/>
      <c r="B404" s="2"/>
      <c r="C404" s="3" t="str">
        <f>IF(B404="","",IFERROR(VLOOKUP(B404,Players!$A$4:$B$200,2,FALSE),""))</f>
        <v/>
      </c>
      <c r="D404" s="2"/>
      <c r="E404" s="2"/>
      <c r="F404" s="2"/>
      <c r="G404" s="3" t="str">
        <f t="shared" si="6"/>
        <v/>
      </c>
      <c r="H404" s="2"/>
      <c r="I404" s="2"/>
      <c r="J404" s="2"/>
    </row>
    <row r="405" spans="1:10">
      <c r="A405" s="2"/>
      <c r="B405" s="2"/>
      <c r="C405" s="3" t="str">
        <f>IF(B405="","",IFERROR(VLOOKUP(B405,Players!$A$4:$B$200,2,FALSE),""))</f>
        <v/>
      </c>
      <c r="D405" s="2"/>
      <c r="E405" s="2"/>
      <c r="F405" s="2"/>
      <c r="G405" s="3" t="str">
        <f t="shared" si="6"/>
        <v/>
      </c>
      <c r="H405" s="2"/>
      <c r="I405" s="2"/>
      <c r="J405" s="2"/>
    </row>
    <row r="406" spans="1:10">
      <c r="A406" s="2"/>
      <c r="B406" s="2"/>
      <c r="C406" s="3" t="str">
        <f>IF(B406="","",IFERROR(VLOOKUP(B406,Players!$A$4:$B$200,2,FALSE),""))</f>
        <v/>
      </c>
      <c r="D406" s="2"/>
      <c r="E406" s="2"/>
      <c r="F406" s="2"/>
      <c r="G406" s="3" t="str">
        <f t="shared" si="6"/>
        <v/>
      </c>
      <c r="H406" s="2"/>
      <c r="I406" s="2"/>
      <c r="J406" s="2"/>
    </row>
    <row r="407" spans="1:10">
      <c r="A407" s="2"/>
      <c r="B407" s="2"/>
      <c r="C407" s="3" t="str">
        <f>IF(B407="","",IFERROR(VLOOKUP(B407,Players!$A$4:$B$200,2,FALSE),""))</f>
        <v/>
      </c>
      <c r="D407" s="2"/>
      <c r="E407" s="2"/>
      <c r="F407" s="2"/>
      <c r="G407" s="3" t="str">
        <f t="shared" si="6"/>
        <v/>
      </c>
      <c r="H407" s="2"/>
      <c r="I407" s="2"/>
      <c r="J407" s="2"/>
    </row>
    <row r="408" spans="1:10">
      <c r="A408" s="2"/>
      <c r="B408" s="2"/>
      <c r="C408" s="3" t="str">
        <f>IF(B408="","",IFERROR(VLOOKUP(B408,Players!$A$4:$B$200,2,FALSE),""))</f>
        <v/>
      </c>
      <c r="D408" s="2"/>
      <c r="E408" s="2"/>
      <c r="F408" s="2"/>
      <c r="G408" s="3" t="str">
        <f t="shared" si="6"/>
        <v/>
      </c>
      <c r="H408" s="2"/>
      <c r="I408" s="2"/>
      <c r="J408" s="2"/>
    </row>
    <row r="409" spans="1:10">
      <c r="A409" s="2"/>
      <c r="B409" s="2"/>
      <c r="C409" s="3" t="str">
        <f>IF(B409="","",IFERROR(VLOOKUP(B409,Players!$A$4:$B$200,2,FALSE),""))</f>
        <v/>
      </c>
      <c r="D409" s="2"/>
      <c r="E409" s="2"/>
      <c r="F409" s="2"/>
      <c r="G409" s="3" t="str">
        <f t="shared" si="6"/>
        <v/>
      </c>
      <c r="H409" s="2"/>
      <c r="I409" s="2"/>
      <c r="J409" s="2"/>
    </row>
    <row r="410" spans="1:10">
      <c r="A410" s="2"/>
      <c r="B410" s="2"/>
      <c r="C410" s="3" t="str">
        <f>IF(B410="","",IFERROR(VLOOKUP(B410,Players!$A$4:$B$200,2,FALSE),""))</f>
        <v/>
      </c>
      <c r="D410" s="2"/>
      <c r="E410" s="2"/>
      <c r="F410" s="2"/>
      <c r="G410" s="3" t="str">
        <f t="shared" si="6"/>
        <v/>
      </c>
      <c r="H410" s="2"/>
      <c r="I410" s="2"/>
      <c r="J410" s="2"/>
    </row>
    <row r="411" spans="1:10">
      <c r="A411" s="2"/>
      <c r="B411" s="2"/>
      <c r="C411" s="3" t="str">
        <f>IF(B411="","",IFERROR(VLOOKUP(B411,Players!$A$4:$B$200,2,FALSE),""))</f>
        <v/>
      </c>
      <c r="D411" s="2"/>
      <c r="E411" s="2"/>
      <c r="F411" s="2"/>
      <c r="G411" s="3" t="str">
        <f t="shared" si="6"/>
        <v/>
      </c>
      <c r="H411" s="2"/>
      <c r="I411" s="2"/>
      <c r="J411" s="2"/>
    </row>
    <row r="412" spans="1:10">
      <c r="A412" s="2"/>
      <c r="B412" s="2"/>
      <c r="C412" s="3" t="str">
        <f>IF(B412="","",IFERROR(VLOOKUP(B412,Players!$A$4:$B$200,2,FALSE),""))</f>
        <v/>
      </c>
      <c r="D412" s="2"/>
      <c r="E412" s="2"/>
      <c r="F412" s="2"/>
      <c r="G412" s="3" t="str">
        <f t="shared" si="6"/>
        <v/>
      </c>
      <c r="H412" s="2"/>
      <c r="I412" s="2"/>
      <c r="J412" s="2"/>
    </row>
    <row r="413" spans="1:10">
      <c r="A413" s="2"/>
      <c r="B413" s="2"/>
      <c r="C413" s="3" t="str">
        <f>IF(B413="","",IFERROR(VLOOKUP(B413,Players!$A$4:$B$200,2,FALSE),""))</f>
        <v/>
      </c>
      <c r="D413" s="2"/>
      <c r="E413" s="2"/>
      <c r="F413" s="2"/>
      <c r="G413" s="3" t="str">
        <f t="shared" si="6"/>
        <v/>
      </c>
      <c r="H413" s="2"/>
      <c r="I413" s="2"/>
      <c r="J413" s="2"/>
    </row>
    <row r="414" spans="1:10">
      <c r="A414" s="2"/>
      <c r="B414" s="2"/>
      <c r="C414" s="3" t="str">
        <f>IF(B414="","",IFERROR(VLOOKUP(B414,Players!$A$4:$B$200,2,FALSE),""))</f>
        <v/>
      </c>
      <c r="D414" s="2"/>
      <c r="E414" s="2"/>
      <c r="F414" s="2"/>
      <c r="G414" s="3" t="str">
        <f t="shared" si="6"/>
        <v/>
      </c>
      <c r="H414" s="2"/>
      <c r="I414" s="2"/>
      <c r="J414" s="2"/>
    </row>
    <row r="415" spans="1:10">
      <c r="A415" s="2"/>
      <c r="B415" s="2"/>
      <c r="C415" s="3" t="str">
        <f>IF(B415="","",IFERROR(VLOOKUP(B415,Players!$A$4:$B$200,2,FALSE),""))</f>
        <v/>
      </c>
      <c r="D415" s="2"/>
      <c r="E415" s="2"/>
      <c r="F415" s="2"/>
      <c r="G415" s="3" t="str">
        <f t="shared" si="6"/>
        <v/>
      </c>
      <c r="H415" s="2"/>
      <c r="I415" s="2"/>
      <c r="J415" s="2"/>
    </row>
    <row r="416" spans="1:10">
      <c r="A416" s="2"/>
      <c r="B416" s="2"/>
      <c r="C416" s="3" t="str">
        <f>IF(B416="","",IFERROR(VLOOKUP(B416,Players!$A$4:$B$200,2,FALSE),""))</f>
        <v/>
      </c>
      <c r="D416" s="2"/>
      <c r="E416" s="2"/>
      <c r="F416" s="2"/>
      <c r="G416" s="3" t="str">
        <f t="shared" si="6"/>
        <v/>
      </c>
      <c r="H416" s="2"/>
      <c r="I416" s="2"/>
      <c r="J416" s="2"/>
    </row>
    <row r="417" spans="1:10">
      <c r="A417" s="2"/>
      <c r="B417" s="2"/>
      <c r="C417" s="3" t="str">
        <f>IF(B417="","",IFERROR(VLOOKUP(B417,Players!$A$4:$B$200,2,FALSE),""))</f>
        <v/>
      </c>
      <c r="D417" s="2"/>
      <c r="E417" s="2"/>
      <c r="F417" s="2"/>
      <c r="G417" s="3" t="str">
        <f t="shared" si="6"/>
        <v/>
      </c>
      <c r="H417" s="2"/>
      <c r="I417" s="2"/>
      <c r="J417" s="2"/>
    </row>
    <row r="418" spans="1:10">
      <c r="A418" s="2"/>
      <c r="B418" s="2"/>
      <c r="C418" s="3" t="str">
        <f>IF(B418="","",IFERROR(VLOOKUP(B418,Players!$A$4:$B$200,2,FALSE),""))</f>
        <v/>
      </c>
      <c r="D418" s="2"/>
      <c r="E418" s="2"/>
      <c r="F418" s="2"/>
      <c r="G418" s="3" t="str">
        <f t="shared" si="6"/>
        <v/>
      </c>
      <c r="H418" s="2"/>
      <c r="I418" s="2"/>
      <c r="J418" s="2"/>
    </row>
    <row r="419" spans="1:10">
      <c r="A419" s="2"/>
      <c r="B419" s="2"/>
      <c r="C419" s="3" t="str">
        <f>IF(B419="","",IFERROR(VLOOKUP(B419,Players!$A$4:$B$200,2,FALSE),""))</f>
        <v/>
      </c>
      <c r="D419" s="2"/>
      <c r="E419" s="2"/>
      <c r="F419" s="2"/>
      <c r="G419" s="3" t="str">
        <f t="shared" si="6"/>
        <v/>
      </c>
      <c r="H419" s="2"/>
      <c r="I419" s="2"/>
      <c r="J419" s="2"/>
    </row>
    <row r="420" spans="1:10">
      <c r="A420" s="2"/>
      <c r="B420" s="2"/>
      <c r="C420" s="3" t="str">
        <f>IF(B420="","",IFERROR(VLOOKUP(B420,Players!$A$4:$B$200,2,FALSE),""))</f>
        <v/>
      </c>
      <c r="D420" s="2"/>
      <c r="E420" s="2"/>
      <c r="F420" s="2"/>
      <c r="G420" s="3" t="str">
        <f t="shared" si="6"/>
        <v/>
      </c>
      <c r="H420" s="2"/>
      <c r="I420" s="2"/>
      <c r="J420" s="2"/>
    </row>
    <row r="421" spans="1:10">
      <c r="A421" s="2"/>
      <c r="B421" s="2"/>
      <c r="C421" s="3" t="str">
        <f>IF(B421="","",IFERROR(VLOOKUP(B421,Players!$A$4:$B$200,2,FALSE),""))</f>
        <v/>
      </c>
      <c r="D421" s="2"/>
      <c r="E421" s="2"/>
      <c r="F421" s="2"/>
      <c r="G421" s="3" t="str">
        <f t="shared" si="6"/>
        <v/>
      </c>
      <c r="H421" s="2"/>
      <c r="I421" s="2"/>
      <c r="J421" s="2"/>
    </row>
    <row r="422" spans="1:10">
      <c r="A422" s="2"/>
      <c r="B422" s="2"/>
      <c r="C422" s="3" t="str">
        <f>IF(B422="","",IFERROR(VLOOKUP(B422,Players!$A$4:$B$200,2,FALSE),""))</f>
        <v/>
      </c>
      <c r="D422" s="2"/>
      <c r="E422" s="2"/>
      <c r="F422" s="2"/>
      <c r="G422" s="3" t="str">
        <f t="shared" si="6"/>
        <v/>
      </c>
      <c r="H422" s="2"/>
      <c r="I422" s="2"/>
      <c r="J422" s="2"/>
    </row>
    <row r="423" spans="1:10">
      <c r="A423" s="2"/>
      <c r="B423" s="2"/>
      <c r="C423" s="3" t="str">
        <f>IF(B423="","",IFERROR(VLOOKUP(B423,Players!$A$4:$B$200,2,FALSE),""))</f>
        <v/>
      </c>
      <c r="D423" s="2"/>
      <c r="E423" s="2"/>
      <c r="F423" s="2"/>
      <c r="G423" s="3" t="str">
        <f t="shared" si="6"/>
        <v/>
      </c>
      <c r="H423" s="2"/>
      <c r="I423" s="2"/>
      <c r="J423" s="2"/>
    </row>
    <row r="424" spans="1:10">
      <c r="A424" s="2"/>
      <c r="B424" s="2"/>
      <c r="C424" s="3" t="str">
        <f>IF(B424="","",IFERROR(VLOOKUP(B424,Players!$A$4:$B$200,2,FALSE),""))</f>
        <v/>
      </c>
      <c r="D424" s="2"/>
      <c r="E424" s="2"/>
      <c r="F424" s="2"/>
      <c r="G424" s="3" t="str">
        <f t="shared" si="6"/>
        <v/>
      </c>
      <c r="H424" s="2"/>
      <c r="I424" s="2"/>
      <c r="J424" s="2"/>
    </row>
    <row r="425" spans="1:10">
      <c r="A425" s="2"/>
      <c r="B425" s="2"/>
      <c r="C425" s="3" t="str">
        <f>IF(B425="","",IFERROR(VLOOKUP(B425,Players!$A$4:$B$200,2,FALSE),""))</f>
        <v/>
      </c>
      <c r="D425" s="2"/>
      <c r="E425" s="2"/>
      <c r="F425" s="2"/>
      <c r="G425" s="3" t="str">
        <f t="shared" si="6"/>
        <v/>
      </c>
      <c r="H425" s="2"/>
      <c r="I425" s="2"/>
      <c r="J425" s="2"/>
    </row>
    <row r="426" spans="1:10">
      <c r="A426" s="2"/>
      <c r="B426" s="2"/>
      <c r="C426" s="3" t="str">
        <f>IF(B426="","",IFERROR(VLOOKUP(B426,Players!$A$4:$B$200,2,FALSE),""))</f>
        <v/>
      </c>
      <c r="D426" s="2"/>
      <c r="E426" s="2"/>
      <c r="F426" s="2"/>
      <c r="G426" s="3" t="str">
        <f t="shared" si="6"/>
        <v/>
      </c>
      <c r="H426" s="2"/>
      <c r="I426" s="2"/>
      <c r="J426" s="2"/>
    </row>
    <row r="427" spans="1:10">
      <c r="A427" s="2"/>
      <c r="B427" s="2"/>
      <c r="C427" s="3" t="str">
        <f>IF(B427="","",IFERROR(VLOOKUP(B427,Players!$A$4:$B$200,2,FALSE),""))</f>
        <v/>
      </c>
      <c r="D427" s="2"/>
      <c r="E427" s="2"/>
      <c r="F427" s="2"/>
      <c r="G427" s="3" t="str">
        <f t="shared" si="6"/>
        <v/>
      </c>
      <c r="H427" s="2"/>
      <c r="I427" s="2"/>
      <c r="J427" s="2"/>
    </row>
    <row r="428" spans="1:10">
      <c r="A428" s="2"/>
      <c r="B428" s="2"/>
      <c r="C428" s="3" t="str">
        <f>IF(B428="","",IFERROR(VLOOKUP(B428,Players!$A$4:$B$200,2,FALSE),""))</f>
        <v/>
      </c>
      <c r="D428" s="2"/>
      <c r="E428" s="2"/>
      <c r="F428" s="2"/>
      <c r="G428" s="3" t="str">
        <f t="shared" si="6"/>
        <v/>
      </c>
      <c r="H428" s="2"/>
      <c r="I428" s="2"/>
      <c r="J428" s="2"/>
    </row>
    <row r="429" spans="1:10">
      <c r="A429" s="2"/>
      <c r="B429" s="2"/>
      <c r="C429" s="3" t="str">
        <f>IF(B429="","",IFERROR(VLOOKUP(B429,Players!$A$4:$B$200,2,FALSE),""))</f>
        <v/>
      </c>
      <c r="D429" s="2"/>
      <c r="E429" s="2"/>
      <c r="F429" s="2"/>
      <c r="G429" s="3" t="str">
        <f t="shared" si="6"/>
        <v/>
      </c>
      <c r="H429" s="2"/>
      <c r="I429" s="2"/>
      <c r="J429" s="2"/>
    </row>
    <row r="430" spans="1:10">
      <c r="A430" s="2"/>
      <c r="B430" s="2"/>
      <c r="C430" s="3" t="str">
        <f>IF(B430="","",IFERROR(VLOOKUP(B430,Players!$A$4:$B$200,2,FALSE),""))</f>
        <v/>
      </c>
      <c r="D430" s="2"/>
      <c r="E430" s="2"/>
      <c r="F430" s="2"/>
      <c r="G430" s="3" t="str">
        <f t="shared" si="6"/>
        <v/>
      </c>
      <c r="H430" s="2"/>
      <c r="I430" s="2"/>
      <c r="J430" s="2"/>
    </row>
    <row r="431" spans="1:10">
      <c r="A431" s="2"/>
      <c r="B431" s="2"/>
      <c r="C431" s="3" t="str">
        <f>IF(B431="","",IFERROR(VLOOKUP(B431,Players!$A$4:$B$200,2,FALSE),""))</f>
        <v/>
      </c>
      <c r="D431" s="2"/>
      <c r="E431" s="2"/>
      <c r="F431" s="2"/>
      <c r="G431" s="3" t="str">
        <f t="shared" si="6"/>
        <v/>
      </c>
      <c r="H431" s="2"/>
      <c r="I431" s="2"/>
      <c r="J431" s="2"/>
    </row>
    <row r="432" spans="1:10">
      <c r="A432" s="2"/>
      <c r="B432" s="2"/>
      <c r="C432" s="3" t="str">
        <f>IF(B432="","",IFERROR(VLOOKUP(B432,Players!$A$4:$B$200,2,FALSE),""))</f>
        <v/>
      </c>
      <c r="D432" s="2"/>
      <c r="E432" s="2"/>
      <c r="F432" s="2"/>
      <c r="G432" s="3" t="str">
        <f t="shared" si="6"/>
        <v/>
      </c>
      <c r="H432" s="2"/>
      <c r="I432" s="2"/>
      <c r="J432" s="2"/>
    </row>
    <row r="433" spans="1:10">
      <c r="A433" s="2"/>
      <c r="B433" s="2"/>
      <c r="C433" s="3" t="str">
        <f>IF(B433="","",IFERROR(VLOOKUP(B433,Players!$A$4:$B$200,2,FALSE),""))</f>
        <v/>
      </c>
      <c r="D433" s="2"/>
      <c r="E433" s="2"/>
      <c r="F433" s="2"/>
      <c r="G433" s="3" t="str">
        <f t="shared" si="6"/>
        <v/>
      </c>
      <c r="H433" s="2"/>
      <c r="I433" s="2"/>
      <c r="J433" s="2"/>
    </row>
    <row r="434" spans="1:10">
      <c r="A434" s="2"/>
      <c r="B434" s="2"/>
      <c r="C434" s="3" t="str">
        <f>IF(B434="","",IFERROR(VLOOKUP(B434,Players!$A$4:$B$200,2,FALSE),""))</f>
        <v/>
      </c>
      <c r="D434" s="2"/>
      <c r="E434" s="2"/>
      <c r="F434" s="2"/>
      <c r="G434" s="3" t="str">
        <f t="shared" si="6"/>
        <v/>
      </c>
      <c r="H434" s="2"/>
      <c r="I434" s="2"/>
      <c r="J434" s="2"/>
    </row>
    <row r="435" spans="1:10">
      <c r="A435" s="2"/>
      <c r="B435" s="2"/>
      <c r="C435" s="3" t="str">
        <f>IF(B435="","",IFERROR(VLOOKUP(B435,Players!$A$4:$B$200,2,FALSE),""))</f>
        <v/>
      </c>
      <c r="D435" s="2"/>
      <c r="E435" s="2"/>
      <c r="F435" s="2"/>
      <c r="G435" s="3" t="str">
        <f t="shared" si="6"/>
        <v/>
      </c>
      <c r="H435" s="2"/>
      <c r="I435" s="2"/>
      <c r="J435" s="2"/>
    </row>
    <row r="436" spans="1:10">
      <c r="A436" s="2"/>
      <c r="B436" s="2"/>
      <c r="C436" s="3" t="str">
        <f>IF(B436="","",IFERROR(VLOOKUP(B436,Players!$A$4:$B$200,2,FALSE),""))</f>
        <v/>
      </c>
      <c r="D436" s="2"/>
      <c r="E436" s="2"/>
      <c r="F436" s="2"/>
      <c r="G436" s="3" t="str">
        <f t="shared" si="6"/>
        <v/>
      </c>
      <c r="H436" s="2"/>
      <c r="I436" s="2"/>
      <c r="J436" s="2"/>
    </row>
    <row r="437" spans="1:10">
      <c r="A437" s="2"/>
      <c r="B437" s="2"/>
      <c r="C437" s="3" t="str">
        <f>IF(B437="","",IFERROR(VLOOKUP(B437,Players!$A$4:$B$200,2,FALSE),""))</f>
        <v/>
      </c>
      <c r="D437" s="2"/>
      <c r="E437" s="2"/>
      <c r="F437" s="2"/>
      <c r="G437" s="3" t="str">
        <f t="shared" si="6"/>
        <v/>
      </c>
      <c r="H437" s="2"/>
      <c r="I437" s="2"/>
      <c r="J437" s="2"/>
    </row>
    <row r="438" spans="1:10">
      <c r="A438" s="2"/>
      <c r="B438" s="2"/>
      <c r="C438" s="3" t="str">
        <f>IF(B438="","",IFERROR(VLOOKUP(B438,Players!$A$4:$B$200,2,FALSE),""))</f>
        <v/>
      </c>
      <c r="D438" s="2"/>
      <c r="E438" s="2"/>
      <c r="F438" s="2"/>
      <c r="G438" s="3" t="str">
        <f t="shared" si="6"/>
        <v/>
      </c>
      <c r="H438" s="2"/>
      <c r="I438" s="2"/>
      <c r="J438" s="2"/>
    </row>
    <row r="439" spans="1:10">
      <c r="A439" s="2"/>
      <c r="B439" s="2"/>
      <c r="C439" s="3" t="str">
        <f>IF(B439="","",IFERROR(VLOOKUP(B439,Players!$A$4:$B$200,2,FALSE),""))</f>
        <v/>
      </c>
      <c r="D439" s="2"/>
      <c r="E439" s="2"/>
      <c r="F439" s="2"/>
      <c r="G439" s="3" t="str">
        <f t="shared" si="6"/>
        <v/>
      </c>
      <c r="H439" s="2"/>
      <c r="I439" s="2"/>
      <c r="J439" s="2"/>
    </row>
    <row r="440" spans="1:10">
      <c r="A440" s="2"/>
      <c r="B440" s="2"/>
      <c r="C440" s="3" t="str">
        <f>IF(B440="","",IFERROR(VLOOKUP(B440,Players!$A$4:$B$200,2,FALSE),""))</f>
        <v/>
      </c>
      <c r="D440" s="2"/>
      <c r="E440" s="2"/>
      <c r="F440" s="2"/>
      <c r="G440" s="3" t="str">
        <f t="shared" si="6"/>
        <v/>
      </c>
      <c r="H440" s="2"/>
      <c r="I440" s="2"/>
      <c r="J440" s="2"/>
    </row>
    <row r="441" spans="1:10">
      <c r="A441" s="2"/>
      <c r="B441" s="2"/>
      <c r="C441" s="3" t="str">
        <f>IF(B441="","",IFERROR(VLOOKUP(B441,Players!$A$4:$B$200,2,FALSE),""))</f>
        <v/>
      </c>
      <c r="D441" s="2"/>
      <c r="E441" s="2"/>
      <c r="F441" s="2"/>
      <c r="G441" s="3" t="str">
        <f t="shared" si="6"/>
        <v/>
      </c>
      <c r="H441" s="2"/>
      <c r="I441" s="2"/>
      <c r="J441" s="2"/>
    </row>
    <row r="442" spans="1:10">
      <c r="A442" s="2"/>
      <c r="B442" s="2"/>
      <c r="C442" s="3" t="str">
        <f>IF(B442="","",IFERROR(VLOOKUP(B442,Players!$A$4:$B$200,2,FALSE),""))</f>
        <v/>
      </c>
      <c r="D442" s="2"/>
      <c r="E442" s="2"/>
      <c r="F442" s="2"/>
      <c r="G442" s="3" t="str">
        <f t="shared" si="6"/>
        <v/>
      </c>
      <c r="H442" s="2"/>
      <c r="I442" s="2"/>
      <c r="J442" s="2"/>
    </row>
    <row r="443" spans="1:10">
      <c r="A443" s="2"/>
      <c r="B443" s="2"/>
      <c r="C443" s="3" t="str">
        <f>IF(B443="","",IFERROR(VLOOKUP(B443,Players!$A$4:$B$200,2,FALSE),""))</f>
        <v/>
      </c>
      <c r="D443" s="2"/>
      <c r="E443" s="2"/>
      <c r="F443" s="2"/>
      <c r="G443" s="3" t="str">
        <f t="shared" si="6"/>
        <v/>
      </c>
      <c r="H443" s="2"/>
      <c r="I443" s="2"/>
      <c r="J443" s="2"/>
    </row>
    <row r="444" spans="1:10">
      <c r="A444" s="2"/>
      <c r="B444" s="2"/>
      <c r="C444" s="3" t="str">
        <f>IF(B444="","",IFERROR(VLOOKUP(B444,Players!$A$4:$B$200,2,FALSE),""))</f>
        <v/>
      </c>
      <c r="D444" s="2"/>
      <c r="E444" s="2"/>
      <c r="F444" s="2"/>
      <c r="G444" s="3" t="str">
        <f t="shared" si="6"/>
        <v/>
      </c>
      <c r="H444" s="2"/>
      <c r="I444" s="2"/>
      <c r="J444" s="2"/>
    </row>
    <row r="445" spans="1:10">
      <c r="A445" s="2"/>
      <c r="B445" s="2"/>
      <c r="C445" s="3" t="str">
        <f>IF(B445="","",IFERROR(VLOOKUP(B445,Players!$A$4:$B$200,2,FALSE),""))</f>
        <v/>
      </c>
      <c r="D445" s="2"/>
      <c r="E445" s="2"/>
      <c r="F445" s="2"/>
      <c r="G445" s="3" t="str">
        <f t="shared" si="6"/>
        <v/>
      </c>
      <c r="H445" s="2"/>
      <c r="I445" s="2"/>
      <c r="J445" s="2"/>
    </row>
    <row r="446" spans="1:10">
      <c r="A446" s="2"/>
      <c r="B446" s="2"/>
      <c r="C446" s="3" t="str">
        <f>IF(B446="","",IFERROR(VLOOKUP(B446,Players!$A$4:$B$200,2,FALSE),""))</f>
        <v/>
      </c>
      <c r="D446" s="2"/>
      <c r="E446" s="2"/>
      <c r="F446" s="2"/>
      <c r="G446" s="3" t="str">
        <f t="shared" si="6"/>
        <v/>
      </c>
      <c r="H446" s="2"/>
      <c r="I446" s="2"/>
      <c r="J446" s="2"/>
    </row>
    <row r="447" spans="1:10">
      <c r="A447" s="2"/>
      <c r="B447" s="2"/>
      <c r="C447" s="3" t="str">
        <f>IF(B447="","",IFERROR(VLOOKUP(B447,Players!$A$4:$B$200,2,FALSE),""))</f>
        <v/>
      </c>
      <c r="D447" s="2"/>
      <c r="E447" s="2"/>
      <c r="F447" s="2"/>
      <c r="G447" s="3" t="str">
        <f t="shared" si="6"/>
        <v/>
      </c>
      <c r="H447" s="2"/>
      <c r="I447" s="2"/>
      <c r="J447" s="2"/>
    </row>
    <row r="448" spans="1:10">
      <c r="A448" s="2"/>
      <c r="B448" s="2"/>
      <c r="C448" s="3" t="str">
        <f>IF(B448="","",IFERROR(VLOOKUP(B448,Players!$A$4:$B$200,2,FALSE),""))</f>
        <v/>
      </c>
      <c r="D448" s="2"/>
      <c r="E448" s="2"/>
      <c r="F448" s="2"/>
      <c r="G448" s="3" t="str">
        <f t="shared" si="6"/>
        <v/>
      </c>
      <c r="H448" s="2"/>
      <c r="I448" s="2"/>
      <c r="J448" s="2"/>
    </row>
    <row r="449" spans="1:10">
      <c r="A449" s="2"/>
      <c r="B449" s="2"/>
      <c r="C449" s="3" t="str">
        <f>IF(B449="","",IFERROR(VLOOKUP(B449,Players!$A$4:$B$200,2,FALSE),""))</f>
        <v/>
      </c>
      <c r="D449" s="2"/>
      <c r="E449" s="2"/>
      <c r="F449" s="2"/>
      <c r="G449" s="3" t="str">
        <f t="shared" si="6"/>
        <v/>
      </c>
      <c r="H449" s="2"/>
      <c r="I449" s="2"/>
      <c r="J449" s="2"/>
    </row>
    <row r="450" spans="1:10">
      <c r="A450" s="2"/>
      <c r="B450" s="2"/>
      <c r="C450" s="3" t="str">
        <f>IF(B450="","",IFERROR(VLOOKUP(B450,Players!$A$4:$B$200,2,FALSE),""))</f>
        <v/>
      </c>
      <c r="D450" s="2"/>
      <c r="E450" s="2"/>
      <c r="F450" s="2"/>
      <c r="G450" s="3" t="str">
        <f t="shared" si="6"/>
        <v/>
      </c>
      <c r="H450" s="2"/>
      <c r="I450" s="2"/>
      <c r="J450" s="2"/>
    </row>
    <row r="451" spans="1:10">
      <c r="A451" s="2"/>
      <c r="B451" s="2"/>
      <c r="C451" s="3" t="str">
        <f>IF(B451="","",IFERROR(VLOOKUP(B451,Players!$A$4:$B$200,2,FALSE),""))</f>
        <v/>
      </c>
      <c r="D451" s="2"/>
      <c r="E451" s="2"/>
      <c r="F451" s="2"/>
      <c r="G451" s="3" t="str">
        <f t="shared" si="6"/>
        <v/>
      </c>
      <c r="H451" s="2"/>
      <c r="I451" s="2"/>
      <c r="J451" s="2"/>
    </row>
    <row r="452" spans="1:10">
      <c r="A452" s="2"/>
      <c r="B452" s="2"/>
      <c r="C452" s="3" t="str">
        <f>IF(B452="","",IFERROR(VLOOKUP(B452,Players!$A$4:$B$200,2,FALSE),""))</f>
        <v/>
      </c>
      <c r="D452" s="2"/>
      <c r="E452" s="2"/>
      <c r="F452" s="2"/>
      <c r="G452" s="3" t="str">
        <f t="shared" ref="G452:G500" si="7">IF(AND(E452="",F452=""),"",SUM(E452:F452))</f>
        <v/>
      </c>
      <c r="H452" s="2"/>
      <c r="I452" s="2"/>
      <c r="J452" s="2"/>
    </row>
    <row r="453" spans="1:10">
      <c r="A453" s="2"/>
      <c r="B453" s="2"/>
      <c r="C453" s="3" t="str">
        <f>IF(B453="","",IFERROR(VLOOKUP(B453,Players!$A$4:$B$200,2,FALSE),""))</f>
        <v/>
      </c>
      <c r="D453" s="2"/>
      <c r="E453" s="2"/>
      <c r="F453" s="2"/>
      <c r="G453" s="3" t="str">
        <f t="shared" si="7"/>
        <v/>
      </c>
      <c r="H453" s="2"/>
      <c r="I453" s="2"/>
      <c r="J453" s="2"/>
    </row>
    <row r="454" spans="1:10">
      <c r="A454" s="2"/>
      <c r="B454" s="2"/>
      <c r="C454" s="3" t="str">
        <f>IF(B454="","",IFERROR(VLOOKUP(B454,Players!$A$4:$B$200,2,FALSE),""))</f>
        <v/>
      </c>
      <c r="D454" s="2"/>
      <c r="E454" s="2"/>
      <c r="F454" s="2"/>
      <c r="G454" s="3" t="str">
        <f t="shared" si="7"/>
        <v/>
      </c>
      <c r="H454" s="2"/>
      <c r="I454" s="2"/>
      <c r="J454" s="2"/>
    </row>
    <row r="455" spans="1:10">
      <c r="A455" s="2"/>
      <c r="B455" s="2"/>
      <c r="C455" s="3" t="str">
        <f>IF(B455="","",IFERROR(VLOOKUP(B455,Players!$A$4:$B$200,2,FALSE),""))</f>
        <v/>
      </c>
      <c r="D455" s="2"/>
      <c r="E455" s="2"/>
      <c r="F455" s="2"/>
      <c r="G455" s="3" t="str">
        <f t="shared" si="7"/>
        <v/>
      </c>
      <c r="H455" s="2"/>
      <c r="I455" s="2"/>
      <c r="J455" s="2"/>
    </row>
    <row r="456" spans="1:10">
      <c r="A456" s="2"/>
      <c r="B456" s="2"/>
      <c r="C456" s="3" t="str">
        <f>IF(B456="","",IFERROR(VLOOKUP(B456,Players!$A$4:$B$200,2,FALSE),""))</f>
        <v/>
      </c>
      <c r="D456" s="2"/>
      <c r="E456" s="2"/>
      <c r="F456" s="2"/>
      <c r="G456" s="3" t="str">
        <f t="shared" si="7"/>
        <v/>
      </c>
      <c r="H456" s="2"/>
      <c r="I456" s="2"/>
      <c r="J456" s="2"/>
    </row>
    <row r="457" spans="1:10">
      <c r="A457" s="2"/>
      <c r="B457" s="2"/>
      <c r="C457" s="3" t="str">
        <f>IF(B457="","",IFERROR(VLOOKUP(B457,Players!$A$4:$B$200,2,FALSE),""))</f>
        <v/>
      </c>
      <c r="D457" s="2"/>
      <c r="E457" s="2"/>
      <c r="F457" s="2"/>
      <c r="G457" s="3" t="str">
        <f t="shared" si="7"/>
        <v/>
      </c>
      <c r="H457" s="2"/>
      <c r="I457" s="2"/>
      <c r="J457" s="2"/>
    </row>
    <row r="458" spans="1:10">
      <c r="A458" s="2"/>
      <c r="B458" s="2"/>
      <c r="C458" s="3" t="str">
        <f>IF(B458="","",IFERROR(VLOOKUP(B458,Players!$A$4:$B$200,2,FALSE),""))</f>
        <v/>
      </c>
      <c r="D458" s="2"/>
      <c r="E458" s="2"/>
      <c r="F458" s="2"/>
      <c r="G458" s="3" t="str">
        <f t="shared" si="7"/>
        <v/>
      </c>
      <c r="H458" s="2"/>
      <c r="I458" s="2"/>
      <c r="J458" s="2"/>
    </row>
    <row r="459" spans="1:10">
      <c r="A459" s="2"/>
      <c r="B459" s="2"/>
      <c r="C459" s="3" t="str">
        <f>IF(B459="","",IFERROR(VLOOKUP(B459,Players!$A$4:$B$200,2,FALSE),""))</f>
        <v/>
      </c>
      <c r="D459" s="2"/>
      <c r="E459" s="2"/>
      <c r="F459" s="2"/>
      <c r="G459" s="3" t="str">
        <f t="shared" si="7"/>
        <v/>
      </c>
      <c r="H459" s="2"/>
      <c r="I459" s="2"/>
      <c r="J459" s="2"/>
    </row>
    <row r="460" spans="1:10">
      <c r="A460" s="2"/>
      <c r="B460" s="2"/>
      <c r="C460" s="3" t="str">
        <f>IF(B460="","",IFERROR(VLOOKUP(B460,Players!$A$4:$B$200,2,FALSE),""))</f>
        <v/>
      </c>
      <c r="D460" s="2"/>
      <c r="E460" s="2"/>
      <c r="F460" s="2"/>
      <c r="G460" s="3" t="str">
        <f t="shared" si="7"/>
        <v/>
      </c>
      <c r="H460" s="2"/>
      <c r="I460" s="2"/>
      <c r="J460" s="2"/>
    </row>
    <row r="461" spans="1:10">
      <c r="A461" s="2"/>
      <c r="B461" s="2"/>
      <c r="C461" s="3" t="str">
        <f>IF(B461="","",IFERROR(VLOOKUP(B461,Players!$A$4:$B$200,2,FALSE),""))</f>
        <v/>
      </c>
      <c r="D461" s="2"/>
      <c r="E461" s="2"/>
      <c r="F461" s="2"/>
      <c r="G461" s="3" t="str">
        <f t="shared" si="7"/>
        <v/>
      </c>
      <c r="H461" s="2"/>
      <c r="I461" s="2"/>
      <c r="J461" s="2"/>
    </row>
    <row r="462" spans="1:10">
      <c r="A462" s="2"/>
      <c r="B462" s="2"/>
      <c r="C462" s="3" t="str">
        <f>IF(B462="","",IFERROR(VLOOKUP(B462,Players!$A$4:$B$200,2,FALSE),""))</f>
        <v/>
      </c>
      <c r="D462" s="2"/>
      <c r="E462" s="2"/>
      <c r="F462" s="2"/>
      <c r="G462" s="3" t="str">
        <f t="shared" si="7"/>
        <v/>
      </c>
      <c r="H462" s="2"/>
      <c r="I462" s="2"/>
      <c r="J462" s="2"/>
    </row>
    <row r="463" spans="1:10">
      <c r="A463" s="2"/>
      <c r="B463" s="2"/>
      <c r="C463" s="3" t="str">
        <f>IF(B463="","",IFERROR(VLOOKUP(B463,Players!$A$4:$B$200,2,FALSE),""))</f>
        <v/>
      </c>
      <c r="D463" s="2"/>
      <c r="E463" s="2"/>
      <c r="F463" s="2"/>
      <c r="G463" s="3" t="str">
        <f t="shared" si="7"/>
        <v/>
      </c>
      <c r="H463" s="2"/>
      <c r="I463" s="2"/>
      <c r="J463" s="2"/>
    </row>
    <row r="464" spans="1:10">
      <c r="A464" s="2"/>
      <c r="B464" s="2"/>
      <c r="C464" s="3" t="str">
        <f>IF(B464="","",IFERROR(VLOOKUP(B464,Players!$A$4:$B$200,2,FALSE),""))</f>
        <v/>
      </c>
      <c r="D464" s="2"/>
      <c r="E464" s="2"/>
      <c r="F464" s="2"/>
      <c r="G464" s="3" t="str">
        <f t="shared" si="7"/>
        <v/>
      </c>
      <c r="H464" s="2"/>
      <c r="I464" s="2"/>
      <c r="J464" s="2"/>
    </row>
    <row r="465" spans="1:10">
      <c r="A465" s="2"/>
      <c r="B465" s="2"/>
      <c r="C465" s="3" t="str">
        <f>IF(B465="","",IFERROR(VLOOKUP(B465,Players!$A$4:$B$200,2,FALSE),""))</f>
        <v/>
      </c>
      <c r="D465" s="2"/>
      <c r="E465" s="2"/>
      <c r="F465" s="2"/>
      <c r="G465" s="3" t="str">
        <f t="shared" si="7"/>
        <v/>
      </c>
      <c r="H465" s="2"/>
      <c r="I465" s="2"/>
      <c r="J465" s="2"/>
    </row>
    <row r="466" spans="1:10">
      <c r="A466" s="2"/>
      <c r="B466" s="2"/>
      <c r="C466" s="3" t="str">
        <f>IF(B466="","",IFERROR(VLOOKUP(B466,Players!$A$4:$B$200,2,FALSE),""))</f>
        <v/>
      </c>
      <c r="D466" s="2"/>
      <c r="E466" s="2"/>
      <c r="F466" s="2"/>
      <c r="G466" s="3" t="str">
        <f t="shared" si="7"/>
        <v/>
      </c>
      <c r="H466" s="2"/>
      <c r="I466" s="2"/>
      <c r="J466" s="2"/>
    </row>
    <row r="467" spans="1:10">
      <c r="A467" s="2"/>
      <c r="B467" s="2"/>
      <c r="C467" s="3" t="str">
        <f>IF(B467="","",IFERROR(VLOOKUP(B467,Players!$A$4:$B$200,2,FALSE),""))</f>
        <v/>
      </c>
      <c r="D467" s="2"/>
      <c r="E467" s="2"/>
      <c r="F467" s="2"/>
      <c r="G467" s="3" t="str">
        <f t="shared" si="7"/>
        <v/>
      </c>
      <c r="H467" s="2"/>
      <c r="I467" s="2"/>
      <c r="J467" s="2"/>
    </row>
    <row r="468" spans="1:10">
      <c r="A468" s="2"/>
      <c r="B468" s="2"/>
      <c r="C468" s="3" t="str">
        <f>IF(B468="","",IFERROR(VLOOKUP(B468,Players!$A$4:$B$200,2,FALSE),""))</f>
        <v/>
      </c>
      <c r="D468" s="2"/>
      <c r="E468" s="2"/>
      <c r="F468" s="2"/>
      <c r="G468" s="3" t="str">
        <f t="shared" si="7"/>
        <v/>
      </c>
      <c r="H468" s="2"/>
      <c r="I468" s="2"/>
      <c r="J468" s="2"/>
    </row>
    <row r="469" spans="1:10">
      <c r="A469" s="2"/>
      <c r="B469" s="2"/>
      <c r="C469" s="3" t="str">
        <f>IF(B469="","",IFERROR(VLOOKUP(B469,Players!$A$4:$B$200,2,FALSE),""))</f>
        <v/>
      </c>
      <c r="D469" s="2"/>
      <c r="E469" s="2"/>
      <c r="F469" s="2"/>
      <c r="G469" s="3" t="str">
        <f t="shared" si="7"/>
        <v/>
      </c>
      <c r="H469" s="2"/>
      <c r="I469" s="2"/>
      <c r="J469" s="2"/>
    </row>
    <row r="470" spans="1:10">
      <c r="A470" s="2"/>
      <c r="B470" s="2"/>
      <c r="C470" s="3" t="str">
        <f>IF(B470="","",IFERROR(VLOOKUP(B470,Players!$A$4:$B$200,2,FALSE),""))</f>
        <v/>
      </c>
      <c r="D470" s="2"/>
      <c r="E470" s="2"/>
      <c r="F470" s="2"/>
      <c r="G470" s="3" t="str">
        <f t="shared" si="7"/>
        <v/>
      </c>
      <c r="H470" s="2"/>
      <c r="I470" s="2"/>
      <c r="J470" s="2"/>
    </row>
    <row r="471" spans="1:10">
      <c r="A471" s="2"/>
      <c r="B471" s="2"/>
      <c r="C471" s="3" t="str">
        <f>IF(B471="","",IFERROR(VLOOKUP(B471,Players!$A$4:$B$200,2,FALSE),""))</f>
        <v/>
      </c>
      <c r="D471" s="2"/>
      <c r="E471" s="2"/>
      <c r="F471" s="2"/>
      <c r="G471" s="3" t="str">
        <f t="shared" si="7"/>
        <v/>
      </c>
      <c r="H471" s="2"/>
      <c r="I471" s="2"/>
      <c r="J471" s="2"/>
    </row>
    <row r="472" spans="1:10">
      <c r="A472" s="2"/>
      <c r="B472" s="2"/>
      <c r="C472" s="3" t="str">
        <f>IF(B472="","",IFERROR(VLOOKUP(B472,Players!$A$4:$B$200,2,FALSE),""))</f>
        <v/>
      </c>
      <c r="D472" s="2"/>
      <c r="E472" s="2"/>
      <c r="F472" s="2"/>
      <c r="G472" s="3" t="str">
        <f t="shared" si="7"/>
        <v/>
      </c>
      <c r="H472" s="2"/>
      <c r="I472" s="2"/>
      <c r="J472" s="2"/>
    </row>
    <row r="473" spans="1:10">
      <c r="A473" s="2"/>
      <c r="B473" s="2"/>
      <c r="C473" s="3" t="str">
        <f>IF(B473="","",IFERROR(VLOOKUP(B473,Players!$A$4:$B$200,2,FALSE),""))</f>
        <v/>
      </c>
      <c r="D473" s="2"/>
      <c r="E473" s="2"/>
      <c r="F473" s="2"/>
      <c r="G473" s="3" t="str">
        <f t="shared" si="7"/>
        <v/>
      </c>
      <c r="H473" s="2"/>
      <c r="I473" s="2"/>
      <c r="J473" s="2"/>
    </row>
    <row r="474" spans="1:10">
      <c r="A474" s="2"/>
      <c r="B474" s="2"/>
      <c r="C474" s="3" t="str">
        <f>IF(B474="","",IFERROR(VLOOKUP(B474,Players!$A$4:$B$200,2,FALSE),""))</f>
        <v/>
      </c>
      <c r="D474" s="2"/>
      <c r="E474" s="2"/>
      <c r="F474" s="2"/>
      <c r="G474" s="3" t="str">
        <f t="shared" si="7"/>
        <v/>
      </c>
      <c r="H474" s="2"/>
      <c r="I474" s="2"/>
      <c r="J474" s="2"/>
    </row>
    <row r="475" spans="1:10">
      <c r="A475" s="2"/>
      <c r="B475" s="2"/>
      <c r="C475" s="3" t="str">
        <f>IF(B475="","",IFERROR(VLOOKUP(B475,Players!$A$4:$B$200,2,FALSE),""))</f>
        <v/>
      </c>
      <c r="D475" s="2"/>
      <c r="E475" s="2"/>
      <c r="F475" s="2"/>
      <c r="G475" s="3" t="str">
        <f t="shared" si="7"/>
        <v/>
      </c>
      <c r="H475" s="2"/>
      <c r="I475" s="2"/>
      <c r="J475" s="2"/>
    </row>
    <row r="476" spans="1:10">
      <c r="A476" s="2"/>
      <c r="B476" s="2"/>
      <c r="C476" s="3" t="str">
        <f>IF(B476="","",IFERROR(VLOOKUP(B476,Players!$A$4:$B$200,2,FALSE),""))</f>
        <v/>
      </c>
      <c r="D476" s="2"/>
      <c r="E476" s="2"/>
      <c r="F476" s="2"/>
      <c r="G476" s="3" t="str">
        <f t="shared" si="7"/>
        <v/>
      </c>
      <c r="H476" s="2"/>
      <c r="I476" s="2"/>
      <c r="J476" s="2"/>
    </row>
    <row r="477" spans="1:10">
      <c r="A477" s="2"/>
      <c r="B477" s="2"/>
      <c r="C477" s="3" t="str">
        <f>IF(B477="","",IFERROR(VLOOKUP(B477,Players!$A$4:$B$200,2,FALSE),""))</f>
        <v/>
      </c>
      <c r="D477" s="2"/>
      <c r="E477" s="2"/>
      <c r="F477" s="2"/>
      <c r="G477" s="3" t="str">
        <f t="shared" si="7"/>
        <v/>
      </c>
      <c r="H477" s="2"/>
      <c r="I477" s="2"/>
      <c r="J477" s="2"/>
    </row>
    <row r="478" spans="1:10">
      <c r="A478" s="2"/>
      <c r="B478" s="2"/>
      <c r="C478" s="3" t="str">
        <f>IF(B478="","",IFERROR(VLOOKUP(B478,Players!$A$4:$B$200,2,FALSE),""))</f>
        <v/>
      </c>
      <c r="D478" s="2"/>
      <c r="E478" s="2"/>
      <c r="F478" s="2"/>
      <c r="G478" s="3" t="str">
        <f t="shared" si="7"/>
        <v/>
      </c>
      <c r="H478" s="2"/>
      <c r="I478" s="2"/>
      <c r="J478" s="2"/>
    </row>
    <row r="479" spans="1:10">
      <c r="A479" s="2"/>
      <c r="B479" s="2"/>
      <c r="C479" s="3" t="str">
        <f>IF(B479="","",IFERROR(VLOOKUP(B479,Players!$A$4:$B$200,2,FALSE),""))</f>
        <v/>
      </c>
      <c r="D479" s="2"/>
      <c r="E479" s="2"/>
      <c r="F479" s="2"/>
      <c r="G479" s="3" t="str">
        <f t="shared" si="7"/>
        <v/>
      </c>
      <c r="H479" s="2"/>
      <c r="I479" s="2"/>
      <c r="J479" s="2"/>
    </row>
    <row r="480" spans="1:10">
      <c r="A480" s="2"/>
      <c r="B480" s="2"/>
      <c r="C480" s="3" t="str">
        <f>IF(B480="","",IFERROR(VLOOKUP(B480,Players!$A$4:$B$200,2,FALSE),""))</f>
        <v/>
      </c>
      <c r="D480" s="2"/>
      <c r="E480" s="2"/>
      <c r="F480" s="2"/>
      <c r="G480" s="3" t="str">
        <f t="shared" si="7"/>
        <v/>
      </c>
      <c r="H480" s="2"/>
      <c r="I480" s="2"/>
      <c r="J480" s="2"/>
    </row>
    <row r="481" spans="1:10">
      <c r="A481" s="2"/>
      <c r="B481" s="2"/>
      <c r="C481" s="3" t="str">
        <f>IF(B481="","",IFERROR(VLOOKUP(B481,Players!$A$4:$B$200,2,FALSE),""))</f>
        <v/>
      </c>
      <c r="D481" s="2"/>
      <c r="E481" s="2"/>
      <c r="F481" s="2"/>
      <c r="G481" s="3" t="str">
        <f t="shared" si="7"/>
        <v/>
      </c>
      <c r="H481" s="2"/>
      <c r="I481" s="2"/>
      <c r="J481" s="2"/>
    </row>
    <row r="482" spans="1:10">
      <c r="A482" s="2"/>
      <c r="B482" s="2"/>
      <c r="C482" s="3" t="str">
        <f>IF(B482="","",IFERROR(VLOOKUP(B482,Players!$A$4:$B$200,2,FALSE),""))</f>
        <v/>
      </c>
      <c r="D482" s="2"/>
      <c r="E482" s="2"/>
      <c r="F482" s="2"/>
      <c r="G482" s="3" t="str">
        <f t="shared" si="7"/>
        <v/>
      </c>
      <c r="H482" s="2"/>
      <c r="I482" s="2"/>
      <c r="J482" s="2"/>
    </row>
    <row r="483" spans="1:10">
      <c r="A483" s="2"/>
      <c r="B483" s="2"/>
      <c r="C483" s="3" t="str">
        <f>IF(B483="","",IFERROR(VLOOKUP(B483,Players!$A$4:$B$200,2,FALSE),""))</f>
        <v/>
      </c>
      <c r="D483" s="2"/>
      <c r="E483" s="2"/>
      <c r="F483" s="2"/>
      <c r="G483" s="3" t="str">
        <f t="shared" si="7"/>
        <v/>
      </c>
      <c r="H483" s="2"/>
      <c r="I483" s="2"/>
      <c r="J483" s="2"/>
    </row>
    <row r="484" spans="1:10">
      <c r="A484" s="2"/>
      <c r="B484" s="2"/>
      <c r="C484" s="3" t="str">
        <f>IF(B484="","",IFERROR(VLOOKUP(B484,Players!$A$4:$B$200,2,FALSE),""))</f>
        <v/>
      </c>
      <c r="D484" s="2"/>
      <c r="E484" s="2"/>
      <c r="F484" s="2"/>
      <c r="G484" s="3" t="str">
        <f t="shared" si="7"/>
        <v/>
      </c>
      <c r="H484" s="2"/>
      <c r="I484" s="2"/>
      <c r="J484" s="2"/>
    </row>
    <row r="485" spans="1:10">
      <c r="A485" s="2"/>
      <c r="B485" s="2"/>
      <c r="C485" s="3" t="str">
        <f>IF(B485="","",IFERROR(VLOOKUP(B485,Players!$A$4:$B$200,2,FALSE),""))</f>
        <v/>
      </c>
      <c r="D485" s="2"/>
      <c r="E485" s="2"/>
      <c r="F485" s="2"/>
      <c r="G485" s="3" t="str">
        <f t="shared" si="7"/>
        <v/>
      </c>
      <c r="H485" s="2"/>
      <c r="I485" s="2"/>
      <c r="J485" s="2"/>
    </row>
    <row r="486" spans="1:10">
      <c r="A486" s="2"/>
      <c r="B486" s="2"/>
      <c r="C486" s="3" t="str">
        <f>IF(B486="","",IFERROR(VLOOKUP(B486,Players!$A$4:$B$200,2,FALSE),""))</f>
        <v/>
      </c>
      <c r="D486" s="2"/>
      <c r="E486" s="2"/>
      <c r="F486" s="2"/>
      <c r="G486" s="3" t="str">
        <f t="shared" si="7"/>
        <v/>
      </c>
      <c r="H486" s="2"/>
      <c r="I486" s="2"/>
      <c r="J486" s="2"/>
    </row>
    <row r="487" spans="1:10">
      <c r="A487" s="2"/>
      <c r="B487" s="2"/>
      <c r="C487" s="3" t="str">
        <f>IF(B487="","",IFERROR(VLOOKUP(B487,Players!$A$4:$B$200,2,FALSE),""))</f>
        <v/>
      </c>
      <c r="D487" s="2"/>
      <c r="E487" s="2"/>
      <c r="F487" s="2"/>
      <c r="G487" s="3" t="str">
        <f t="shared" si="7"/>
        <v/>
      </c>
      <c r="H487" s="2"/>
      <c r="I487" s="2"/>
      <c r="J487" s="2"/>
    </row>
    <row r="488" spans="1:10">
      <c r="A488" s="2"/>
      <c r="B488" s="2"/>
      <c r="C488" s="3" t="str">
        <f>IF(B488="","",IFERROR(VLOOKUP(B488,Players!$A$4:$B$200,2,FALSE),""))</f>
        <v/>
      </c>
      <c r="D488" s="2"/>
      <c r="E488" s="2"/>
      <c r="F488" s="2"/>
      <c r="G488" s="3" t="str">
        <f t="shared" si="7"/>
        <v/>
      </c>
      <c r="H488" s="2"/>
      <c r="I488" s="2"/>
      <c r="J488" s="2"/>
    </row>
    <row r="489" spans="1:10">
      <c r="A489" s="2"/>
      <c r="B489" s="2"/>
      <c r="C489" s="3" t="str">
        <f>IF(B489="","",IFERROR(VLOOKUP(B489,Players!$A$4:$B$200,2,FALSE),""))</f>
        <v/>
      </c>
      <c r="D489" s="2"/>
      <c r="E489" s="2"/>
      <c r="F489" s="2"/>
      <c r="G489" s="3" t="str">
        <f t="shared" si="7"/>
        <v/>
      </c>
      <c r="H489" s="2"/>
      <c r="I489" s="2"/>
      <c r="J489" s="2"/>
    </row>
    <row r="490" spans="1:10">
      <c r="A490" s="2"/>
      <c r="B490" s="2"/>
      <c r="C490" s="3" t="str">
        <f>IF(B490="","",IFERROR(VLOOKUP(B490,Players!$A$4:$B$200,2,FALSE),""))</f>
        <v/>
      </c>
      <c r="D490" s="2"/>
      <c r="E490" s="2"/>
      <c r="F490" s="2"/>
      <c r="G490" s="3" t="str">
        <f t="shared" si="7"/>
        <v/>
      </c>
      <c r="H490" s="2"/>
      <c r="I490" s="2"/>
      <c r="J490" s="2"/>
    </row>
    <row r="491" spans="1:10">
      <c r="A491" s="2"/>
      <c r="B491" s="2"/>
      <c r="C491" s="3" t="str">
        <f>IF(B491="","",IFERROR(VLOOKUP(B491,Players!$A$4:$B$200,2,FALSE),""))</f>
        <v/>
      </c>
      <c r="D491" s="2"/>
      <c r="E491" s="2"/>
      <c r="F491" s="2"/>
      <c r="G491" s="3" t="str">
        <f t="shared" si="7"/>
        <v/>
      </c>
      <c r="H491" s="2"/>
      <c r="I491" s="2"/>
      <c r="J491" s="2"/>
    </row>
    <row r="492" spans="1:10">
      <c r="A492" s="2"/>
      <c r="B492" s="2"/>
      <c r="C492" s="3" t="str">
        <f>IF(B492="","",IFERROR(VLOOKUP(B492,Players!$A$4:$B$200,2,FALSE),""))</f>
        <v/>
      </c>
      <c r="D492" s="2"/>
      <c r="E492" s="2"/>
      <c r="F492" s="2"/>
      <c r="G492" s="3" t="str">
        <f t="shared" si="7"/>
        <v/>
      </c>
      <c r="H492" s="2"/>
      <c r="I492" s="2"/>
      <c r="J492" s="2"/>
    </row>
    <row r="493" spans="1:10">
      <c r="A493" s="2"/>
      <c r="B493" s="2"/>
      <c r="C493" s="3" t="str">
        <f>IF(B493="","",IFERROR(VLOOKUP(B493,Players!$A$4:$B$200,2,FALSE),""))</f>
        <v/>
      </c>
      <c r="D493" s="2"/>
      <c r="E493" s="2"/>
      <c r="F493" s="2"/>
      <c r="G493" s="3" t="str">
        <f t="shared" si="7"/>
        <v/>
      </c>
      <c r="H493" s="2"/>
      <c r="I493" s="2"/>
      <c r="J493" s="2"/>
    </row>
    <row r="494" spans="1:10">
      <c r="A494" s="2"/>
      <c r="B494" s="2"/>
      <c r="C494" s="3" t="str">
        <f>IF(B494="","",IFERROR(VLOOKUP(B494,Players!$A$4:$B$200,2,FALSE),""))</f>
        <v/>
      </c>
      <c r="D494" s="2"/>
      <c r="E494" s="2"/>
      <c r="F494" s="2"/>
      <c r="G494" s="3" t="str">
        <f t="shared" si="7"/>
        <v/>
      </c>
      <c r="H494" s="2"/>
      <c r="I494" s="2"/>
      <c r="J494" s="2"/>
    </row>
    <row r="495" spans="1:10">
      <c r="A495" s="2"/>
      <c r="B495" s="2"/>
      <c r="C495" s="3" t="str">
        <f>IF(B495="","",IFERROR(VLOOKUP(B495,Players!$A$4:$B$200,2,FALSE),""))</f>
        <v/>
      </c>
      <c r="D495" s="2"/>
      <c r="E495" s="2"/>
      <c r="F495" s="2"/>
      <c r="G495" s="3" t="str">
        <f t="shared" si="7"/>
        <v/>
      </c>
      <c r="H495" s="2"/>
      <c r="I495" s="2"/>
      <c r="J495" s="2"/>
    </row>
    <row r="496" spans="1:10">
      <c r="A496" s="2"/>
      <c r="B496" s="2"/>
      <c r="C496" s="3" t="str">
        <f>IF(B496="","",IFERROR(VLOOKUP(B496,Players!$A$4:$B$200,2,FALSE),""))</f>
        <v/>
      </c>
      <c r="D496" s="2"/>
      <c r="E496" s="2"/>
      <c r="F496" s="2"/>
      <c r="G496" s="3" t="str">
        <f t="shared" si="7"/>
        <v/>
      </c>
      <c r="H496" s="2"/>
      <c r="I496" s="2"/>
      <c r="J496" s="2"/>
    </row>
    <row r="497" spans="1:10">
      <c r="A497" s="2"/>
      <c r="B497" s="2"/>
      <c r="C497" s="3" t="str">
        <f>IF(B497="","",IFERROR(VLOOKUP(B497,Players!$A$4:$B$200,2,FALSE),""))</f>
        <v/>
      </c>
      <c r="D497" s="2"/>
      <c r="E497" s="2"/>
      <c r="F497" s="2"/>
      <c r="G497" s="3" t="str">
        <f t="shared" si="7"/>
        <v/>
      </c>
      <c r="H497" s="2"/>
      <c r="I497" s="2"/>
      <c r="J497" s="2"/>
    </row>
    <row r="498" spans="1:10">
      <c r="A498" s="2"/>
      <c r="B498" s="2"/>
      <c r="C498" s="3" t="str">
        <f>IF(B498="","",IFERROR(VLOOKUP(B498,Players!$A$4:$B$200,2,FALSE),""))</f>
        <v/>
      </c>
      <c r="D498" s="2"/>
      <c r="E498" s="2"/>
      <c r="F498" s="2"/>
      <c r="G498" s="3" t="str">
        <f t="shared" si="7"/>
        <v/>
      </c>
      <c r="H498" s="2"/>
      <c r="I498" s="2"/>
      <c r="J498" s="2"/>
    </row>
    <row r="499" spans="1:10">
      <c r="A499" s="2"/>
      <c r="B499" s="2"/>
      <c r="C499" s="3" t="str">
        <f>IF(B499="","",IFERROR(VLOOKUP(B499,Players!$A$4:$B$200,2,FALSE),""))</f>
        <v/>
      </c>
      <c r="D499" s="2"/>
      <c r="E499" s="2"/>
      <c r="F499" s="2"/>
      <c r="G499" s="3" t="str">
        <f t="shared" si="7"/>
        <v/>
      </c>
      <c r="H499" s="2"/>
      <c r="I499" s="2"/>
      <c r="J499" s="2"/>
    </row>
    <row r="500" spans="1:10">
      <c r="A500" s="2"/>
      <c r="B500" s="2"/>
      <c r="C500" s="3" t="str">
        <f>IF(B500="","",IFERROR(VLOOKUP(B500,Players!$A$4:$B$200,2,FALSE),""))</f>
        <v/>
      </c>
      <c r="D500" s="2"/>
      <c r="E500" s="2"/>
      <c r="F500" s="2"/>
      <c r="G500" s="3" t="str">
        <f t="shared" si="7"/>
        <v/>
      </c>
      <c r="H500" s="2"/>
      <c r="I500" s="2"/>
      <c r="J500" s="2"/>
    </row>
  </sheetData>
  <mergeCells count="1">
    <mergeCell ref="A1:J1"/>
  </mergeCells>
  <dataValidations count="1">
    <dataValidation type="list" sqref="D4:D500" xr:uid="{00000000-0002-0000-0300-000002000000}">
      <formula1>"Yes,No"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1000000}">
          <x14:formula1>
            <xm:f>Players!$A$4:$A$200</xm:f>
          </x14:formula1>
          <xm:sqref>B4:B500</xm:sqref>
        </x14:dataValidation>
        <x14:dataValidation type="list" xr:uid="{00000000-0002-0000-0300-000000000000}">
          <x14:formula1>
            <xm:f>Games!$A$4:$A$200</xm:f>
          </x14:formula1>
          <xm:sqref>A4:A500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0"/>
  <sheetViews>
    <sheetView zoomScaleNormal="100" zoomScaleSheetLayoutView="100" workbookViewId="0">
      <selection activeCell="D12" sqref="D12"/>
    </sheetView>
  </sheetViews>
  <sheetFormatPr defaultRowHeight="14.25"/>
  <cols>
    <col min="1" max="1" width="25.75" customWidth="1"/>
    <col min="2" max="2" width="9.25" customWidth="1"/>
    <col min="3" max="3" width="24" customWidth="1"/>
    <col min="4" max="4" width="14.5" customWidth="1"/>
    <col min="5" max="5" width="10.75" customWidth="1"/>
    <col min="6" max="6" width="10.875" customWidth="1"/>
    <col min="7" max="7" width="6.875" customWidth="1"/>
    <col min="8" max="8" width="8.625" customWidth="1"/>
    <col min="9" max="9" width="10.625" customWidth="1"/>
    <col min="10" max="10" width="9.75" customWidth="1"/>
    <col min="11" max="11" width="5" customWidth="1"/>
  </cols>
  <sheetData>
    <row r="1" spans="1:11" ht="20.25">
      <c r="A1" s="22" t="s">
        <v>262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3" spans="1:11" ht="30">
      <c r="A3" s="6" t="s">
        <v>209</v>
      </c>
      <c r="B3" s="6" t="s">
        <v>111</v>
      </c>
      <c r="C3" s="6" t="s">
        <v>131</v>
      </c>
      <c r="D3" s="6" t="s">
        <v>263</v>
      </c>
      <c r="E3" s="6" t="s">
        <v>264</v>
      </c>
      <c r="F3" s="6" t="s">
        <v>265</v>
      </c>
      <c r="G3" s="6" t="s">
        <v>266</v>
      </c>
      <c r="H3" s="6" t="s">
        <v>267</v>
      </c>
      <c r="I3" s="6" t="s">
        <v>268</v>
      </c>
      <c r="J3" s="6" t="s">
        <v>269</v>
      </c>
      <c r="K3" s="6" t="s">
        <v>116</v>
      </c>
    </row>
    <row r="4" spans="1:11">
      <c r="A4" s="7" t="s">
        <v>221</v>
      </c>
      <c r="B4" s="7" t="s">
        <v>129</v>
      </c>
      <c r="C4" s="10" t="str">
        <f>IF(B4="","",IFERROR(VLOOKUP(B4,Players!$A$4:$B$200,2,FALSE),""))</f>
        <v>Aaron Burton</v>
      </c>
      <c r="D4" s="21">
        <v>1.6666666666666667</v>
      </c>
      <c r="E4" s="7">
        <v>23</v>
      </c>
      <c r="F4" s="7">
        <v>2</v>
      </c>
      <c r="G4" s="10">
        <f t="shared" ref="G4:G35" si="0">IF(E4="","",E4-F4)</f>
        <v>21</v>
      </c>
      <c r="H4" s="11">
        <f t="shared" ref="H4:H35" si="1">IF(OR(E4="",E4=0),"",G4/E4)</f>
        <v>0.91304347826086951</v>
      </c>
      <c r="I4" s="7"/>
      <c r="J4" s="7"/>
      <c r="K4" s="7"/>
    </row>
    <row r="5" spans="1:11">
      <c r="A5" s="7"/>
      <c r="B5" s="7" t="s">
        <v>148</v>
      </c>
      <c r="C5" s="10" t="str">
        <f>IF(B5="","",IFERROR(VLOOKUP(B5,Players!$A$4:$B$200,2,FALSE),""))</f>
        <v>Nicole Jackson</v>
      </c>
      <c r="D5" s="9">
        <v>0.83333333333333337</v>
      </c>
      <c r="E5" s="7">
        <v>6</v>
      </c>
      <c r="F5" s="7">
        <v>0</v>
      </c>
      <c r="G5" s="10">
        <f t="shared" si="0"/>
        <v>6</v>
      </c>
      <c r="H5" s="11">
        <f t="shared" si="1"/>
        <v>1</v>
      </c>
      <c r="I5" s="7"/>
      <c r="J5" s="7"/>
      <c r="K5" s="7"/>
    </row>
    <row r="6" spans="1:11">
      <c r="A6" s="7"/>
      <c r="B6" s="7"/>
      <c r="C6" s="10" t="str">
        <f>IF(B6="","",IFERROR(VLOOKUP(B6,Players!$A$4:$B$200,2,FALSE),""))</f>
        <v/>
      </c>
      <c r="D6" s="7"/>
      <c r="E6" s="7"/>
      <c r="F6" s="7"/>
      <c r="G6" s="10" t="str">
        <f t="shared" si="0"/>
        <v/>
      </c>
      <c r="H6" s="11" t="str">
        <f t="shared" si="1"/>
        <v/>
      </c>
      <c r="I6" s="7"/>
      <c r="J6" s="7"/>
      <c r="K6" s="7"/>
    </row>
    <row r="7" spans="1:11">
      <c r="A7" s="7"/>
      <c r="B7" s="7"/>
      <c r="C7" s="10" t="str">
        <f>IF(B7="","",IFERROR(VLOOKUP(B7,Players!$A$4:$B$200,2,FALSE),""))</f>
        <v/>
      </c>
      <c r="D7" s="7"/>
      <c r="E7" s="7"/>
      <c r="F7" s="7"/>
      <c r="G7" s="10" t="str">
        <f t="shared" si="0"/>
        <v/>
      </c>
      <c r="H7" s="11" t="str">
        <f t="shared" si="1"/>
        <v/>
      </c>
      <c r="I7" s="7"/>
      <c r="J7" s="7"/>
      <c r="K7" s="7"/>
    </row>
    <row r="8" spans="1:11">
      <c r="A8" s="7"/>
      <c r="B8" s="7"/>
      <c r="C8" s="10" t="str">
        <f>IF(B8="","",IFERROR(VLOOKUP(B8,Players!$A$4:$B$200,2,FALSE),""))</f>
        <v/>
      </c>
      <c r="D8" s="7"/>
      <c r="E8" s="7"/>
      <c r="F8" s="7"/>
      <c r="G8" s="10" t="str">
        <f t="shared" si="0"/>
        <v/>
      </c>
      <c r="H8" s="11" t="str">
        <f t="shared" si="1"/>
        <v/>
      </c>
      <c r="I8" s="7"/>
      <c r="J8" s="7"/>
      <c r="K8" s="7"/>
    </row>
    <row r="9" spans="1:11">
      <c r="A9" s="7"/>
      <c r="B9" s="7"/>
      <c r="C9" s="10" t="str">
        <f>IF(B9="","",IFERROR(VLOOKUP(B9,Players!$A$4:$B$200,2,FALSE),""))</f>
        <v/>
      </c>
      <c r="D9" s="7"/>
      <c r="E9" s="7"/>
      <c r="F9" s="7"/>
      <c r="G9" s="10" t="str">
        <f t="shared" si="0"/>
        <v/>
      </c>
      <c r="H9" s="11" t="str">
        <f t="shared" si="1"/>
        <v/>
      </c>
      <c r="I9" s="7"/>
      <c r="J9" s="7"/>
      <c r="K9" s="7"/>
    </row>
    <row r="10" spans="1:11">
      <c r="A10" s="7"/>
      <c r="B10" s="7"/>
      <c r="C10" s="10" t="str">
        <f>IF(B10="","",IFERROR(VLOOKUP(B10,Players!$A$4:$B$200,2,FALSE),""))</f>
        <v/>
      </c>
      <c r="D10" s="7"/>
      <c r="E10" s="7"/>
      <c r="F10" s="7"/>
      <c r="G10" s="10" t="str">
        <f t="shared" si="0"/>
        <v/>
      </c>
      <c r="H10" s="11" t="str">
        <f t="shared" si="1"/>
        <v/>
      </c>
      <c r="I10" s="7"/>
      <c r="J10" s="7"/>
      <c r="K10" s="7"/>
    </row>
    <row r="11" spans="1:11">
      <c r="A11" s="7"/>
      <c r="B11" s="7"/>
      <c r="C11" s="10" t="str">
        <f>IF(B11="","",IFERROR(VLOOKUP(B11,Players!$A$4:$B$200,2,FALSE),""))</f>
        <v/>
      </c>
      <c r="D11" s="7"/>
      <c r="E11" s="7"/>
      <c r="F11" s="7"/>
      <c r="G11" s="10" t="str">
        <f t="shared" si="0"/>
        <v/>
      </c>
      <c r="H11" s="11" t="str">
        <f t="shared" si="1"/>
        <v/>
      </c>
      <c r="I11" s="7"/>
      <c r="J11" s="7"/>
      <c r="K11" s="7"/>
    </row>
    <row r="12" spans="1:11">
      <c r="A12" s="7"/>
      <c r="B12" s="7"/>
      <c r="C12" s="10" t="str">
        <f>IF(B12="","",IFERROR(VLOOKUP(B12,Players!$A$4:$B$200,2,FALSE),""))</f>
        <v/>
      </c>
      <c r="D12" s="7"/>
      <c r="E12" s="7"/>
      <c r="F12" s="7"/>
      <c r="G12" s="10" t="str">
        <f t="shared" si="0"/>
        <v/>
      </c>
      <c r="H12" s="11" t="str">
        <f t="shared" si="1"/>
        <v/>
      </c>
      <c r="I12" s="7"/>
      <c r="J12" s="7"/>
      <c r="K12" s="7"/>
    </row>
    <row r="13" spans="1:11">
      <c r="A13" s="7"/>
      <c r="B13" s="7"/>
      <c r="C13" s="10" t="str">
        <f>IF(B13="","",IFERROR(VLOOKUP(B13,Players!$A$4:$B$200,2,FALSE),""))</f>
        <v/>
      </c>
      <c r="D13" s="7"/>
      <c r="E13" s="7"/>
      <c r="F13" s="7"/>
      <c r="G13" s="10" t="str">
        <f t="shared" si="0"/>
        <v/>
      </c>
      <c r="H13" s="11" t="str">
        <f t="shared" si="1"/>
        <v/>
      </c>
      <c r="I13" s="7"/>
      <c r="J13" s="7"/>
      <c r="K13" s="7"/>
    </row>
    <row r="14" spans="1:11">
      <c r="A14" s="7"/>
      <c r="B14" s="7"/>
      <c r="C14" s="10" t="str">
        <f>IF(B14="","",IFERROR(VLOOKUP(B14,Players!$A$4:$B$200,2,FALSE),""))</f>
        <v/>
      </c>
      <c r="D14" s="7"/>
      <c r="E14" s="7"/>
      <c r="F14" s="7"/>
      <c r="G14" s="10" t="str">
        <f t="shared" si="0"/>
        <v/>
      </c>
      <c r="H14" s="11" t="str">
        <f t="shared" si="1"/>
        <v/>
      </c>
      <c r="I14" s="7"/>
      <c r="J14" s="7"/>
      <c r="K14" s="7"/>
    </row>
    <row r="15" spans="1:11">
      <c r="A15" s="7"/>
      <c r="B15" s="7"/>
      <c r="C15" s="10" t="str">
        <f>IF(B15="","",IFERROR(VLOOKUP(B15,Players!$A$4:$B$200,2,FALSE),""))</f>
        <v/>
      </c>
      <c r="D15" s="7"/>
      <c r="E15" s="7"/>
      <c r="F15" s="7"/>
      <c r="G15" s="10" t="str">
        <f t="shared" si="0"/>
        <v/>
      </c>
      <c r="H15" s="11" t="str">
        <f t="shared" si="1"/>
        <v/>
      </c>
      <c r="I15" s="7"/>
      <c r="J15" s="7"/>
      <c r="K15" s="7"/>
    </row>
    <row r="16" spans="1:11">
      <c r="A16" s="7"/>
      <c r="B16" s="7"/>
      <c r="C16" s="10" t="str">
        <f>IF(B16="","",IFERROR(VLOOKUP(B16,Players!$A$4:$B$200,2,FALSE),""))</f>
        <v/>
      </c>
      <c r="D16" s="7"/>
      <c r="E16" s="7"/>
      <c r="F16" s="7"/>
      <c r="G16" s="10" t="str">
        <f t="shared" si="0"/>
        <v/>
      </c>
      <c r="H16" s="11" t="str">
        <f t="shared" si="1"/>
        <v/>
      </c>
      <c r="I16" s="7"/>
      <c r="J16" s="7"/>
      <c r="K16" s="7"/>
    </row>
    <row r="17" spans="1:11">
      <c r="A17" s="7"/>
      <c r="B17" s="7"/>
      <c r="C17" s="10" t="str">
        <f>IF(B17="","",IFERROR(VLOOKUP(B17,Players!$A$4:$B$200,2,FALSE),""))</f>
        <v/>
      </c>
      <c r="D17" s="7"/>
      <c r="E17" s="7"/>
      <c r="F17" s="7"/>
      <c r="G17" s="10" t="str">
        <f t="shared" si="0"/>
        <v/>
      </c>
      <c r="H17" s="11" t="str">
        <f t="shared" si="1"/>
        <v/>
      </c>
      <c r="I17" s="7"/>
      <c r="J17" s="7"/>
      <c r="K17" s="7"/>
    </row>
    <row r="18" spans="1:11">
      <c r="A18" s="7"/>
      <c r="B18" s="7"/>
      <c r="C18" s="10" t="str">
        <f>IF(B18="","",IFERROR(VLOOKUP(B18,Players!$A$4:$B$200,2,FALSE),""))</f>
        <v/>
      </c>
      <c r="D18" s="7"/>
      <c r="E18" s="7"/>
      <c r="F18" s="7"/>
      <c r="G18" s="10" t="str">
        <f t="shared" si="0"/>
        <v/>
      </c>
      <c r="H18" s="11" t="str">
        <f t="shared" si="1"/>
        <v/>
      </c>
      <c r="I18" s="7"/>
      <c r="J18" s="7"/>
      <c r="K18" s="7"/>
    </row>
    <row r="19" spans="1:11">
      <c r="A19" s="7"/>
      <c r="B19" s="7"/>
      <c r="C19" s="10" t="str">
        <f>IF(B19="","",IFERROR(VLOOKUP(B19,Players!$A$4:$B$200,2,FALSE),""))</f>
        <v/>
      </c>
      <c r="D19" s="7"/>
      <c r="E19" s="7"/>
      <c r="F19" s="7"/>
      <c r="G19" s="10" t="str">
        <f t="shared" si="0"/>
        <v/>
      </c>
      <c r="H19" s="11" t="str">
        <f t="shared" si="1"/>
        <v/>
      </c>
      <c r="I19" s="7"/>
      <c r="J19" s="7"/>
      <c r="K19" s="7"/>
    </row>
    <row r="20" spans="1:11">
      <c r="A20" s="7"/>
      <c r="B20" s="7"/>
      <c r="C20" s="10" t="str">
        <f>IF(B20="","",IFERROR(VLOOKUP(B20,Players!$A$4:$B$200,2,FALSE),""))</f>
        <v/>
      </c>
      <c r="D20" s="7"/>
      <c r="E20" s="7"/>
      <c r="F20" s="7"/>
      <c r="G20" s="10" t="str">
        <f t="shared" si="0"/>
        <v/>
      </c>
      <c r="H20" s="11" t="str">
        <f t="shared" si="1"/>
        <v/>
      </c>
      <c r="I20" s="7"/>
      <c r="J20" s="7"/>
      <c r="K20" s="7"/>
    </row>
    <row r="21" spans="1:11">
      <c r="A21" s="7"/>
      <c r="B21" s="7"/>
      <c r="C21" s="10" t="str">
        <f>IF(B21="","",IFERROR(VLOOKUP(B21,Players!$A$4:$B$200,2,FALSE),""))</f>
        <v/>
      </c>
      <c r="D21" s="7"/>
      <c r="E21" s="7"/>
      <c r="F21" s="7"/>
      <c r="G21" s="10" t="str">
        <f t="shared" si="0"/>
        <v/>
      </c>
      <c r="H21" s="11" t="str">
        <f t="shared" si="1"/>
        <v/>
      </c>
      <c r="I21" s="7"/>
      <c r="J21" s="7"/>
      <c r="K21" s="7"/>
    </row>
    <row r="22" spans="1:11">
      <c r="A22" s="2"/>
      <c r="B22" s="2"/>
      <c r="C22" s="3" t="str">
        <f>IF(B22="","",IFERROR(VLOOKUP(B22,Players!$A$4:$B$200,2,FALSE),""))</f>
        <v/>
      </c>
      <c r="D22" s="2"/>
      <c r="E22" s="2"/>
      <c r="F22" s="2"/>
      <c r="G22" s="3" t="str">
        <f t="shared" si="0"/>
        <v/>
      </c>
      <c r="H22" s="5" t="str">
        <f t="shared" si="1"/>
        <v/>
      </c>
      <c r="I22" s="2"/>
      <c r="J22" s="2"/>
      <c r="K22" s="2"/>
    </row>
    <row r="23" spans="1:11">
      <c r="A23" s="2"/>
      <c r="B23" s="2"/>
      <c r="C23" s="3" t="str">
        <f>IF(B23="","",IFERROR(VLOOKUP(B23,Players!$A$4:$B$200,2,FALSE),""))</f>
        <v/>
      </c>
      <c r="D23" s="2"/>
      <c r="E23" s="2"/>
      <c r="F23" s="2"/>
      <c r="G23" s="3" t="str">
        <f t="shared" si="0"/>
        <v/>
      </c>
      <c r="H23" s="5" t="str">
        <f t="shared" si="1"/>
        <v/>
      </c>
      <c r="I23" s="2"/>
      <c r="J23" s="2"/>
      <c r="K23" s="2"/>
    </row>
    <row r="24" spans="1:11">
      <c r="A24" s="2"/>
      <c r="B24" s="2"/>
      <c r="C24" s="3" t="str">
        <f>IF(B24="","",IFERROR(VLOOKUP(B24,Players!$A$4:$B$200,2,FALSE),""))</f>
        <v/>
      </c>
      <c r="D24" s="2"/>
      <c r="E24" s="2"/>
      <c r="F24" s="2"/>
      <c r="G24" s="3" t="str">
        <f t="shared" si="0"/>
        <v/>
      </c>
      <c r="H24" s="5" t="str">
        <f t="shared" si="1"/>
        <v/>
      </c>
      <c r="I24" s="2"/>
      <c r="J24" s="2"/>
      <c r="K24" s="2"/>
    </row>
    <row r="25" spans="1:11">
      <c r="A25" s="2"/>
      <c r="B25" s="2"/>
      <c r="C25" s="3" t="str">
        <f>IF(B25="","",IFERROR(VLOOKUP(B25,Players!$A$4:$B$200,2,FALSE),""))</f>
        <v/>
      </c>
      <c r="D25" s="2"/>
      <c r="E25" s="2"/>
      <c r="F25" s="2"/>
      <c r="G25" s="3" t="str">
        <f t="shared" si="0"/>
        <v/>
      </c>
      <c r="H25" s="5" t="str">
        <f t="shared" si="1"/>
        <v/>
      </c>
      <c r="I25" s="2"/>
      <c r="J25" s="2"/>
      <c r="K25" s="2"/>
    </row>
    <row r="26" spans="1:11">
      <c r="A26" s="2"/>
      <c r="B26" s="2"/>
      <c r="C26" s="3" t="str">
        <f>IF(B26="","",IFERROR(VLOOKUP(B26,Players!$A$4:$B$200,2,FALSE),""))</f>
        <v/>
      </c>
      <c r="D26" s="2"/>
      <c r="E26" s="2"/>
      <c r="F26" s="2"/>
      <c r="G26" s="3" t="str">
        <f t="shared" si="0"/>
        <v/>
      </c>
      <c r="H26" s="5" t="str">
        <f t="shared" si="1"/>
        <v/>
      </c>
      <c r="I26" s="2"/>
      <c r="J26" s="2"/>
      <c r="K26" s="2"/>
    </row>
    <row r="27" spans="1:11">
      <c r="A27" s="2"/>
      <c r="B27" s="2"/>
      <c r="C27" s="3" t="str">
        <f>IF(B27="","",IFERROR(VLOOKUP(B27,Players!$A$4:$B$200,2,FALSE),""))</f>
        <v/>
      </c>
      <c r="D27" s="2"/>
      <c r="E27" s="2"/>
      <c r="F27" s="2"/>
      <c r="G27" s="3" t="str">
        <f t="shared" si="0"/>
        <v/>
      </c>
      <c r="H27" s="5" t="str">
        <f t="shared" si="1"/>
        <v/>
      </c>
      <c r="I27" s="2"/>
      <c r="J27" s="2"/>
      <c r="K27" s="2"/>
    </row>
    <row r="28" spans="1:11">
      <c r="A28" s="2"/>
      <c r="B28" s="2"/>
      <c r="C28" s="3" t="str">
        <f>IF(B28="","",IFERROR(VLOOKUP(B28,Players!$A$4:$B$200,2,FALSE),""))</f>
        <v/>
      </c>
      <c r="D28" s="2"/>
      <c r="E28" s="2"/>
      <c r="F28" s="2"/>
      <c r="G28" s="3" t="str">
        <f t="shared" si="0"/>
        <v/>
      </c>
      <c r="H28" s="5" t="str">
        <f t="shared" si="1"/>
        <v/>
      </c>
      <c r="I28" s="2"/>
      <c r="J28" s="2"/>
      <c r="K28" s="2"/>
    </row>
    <row r="29" spans="1:11">
      <c r="A29" s="2"/>
      <c r="B29" s="2"/>
      <c r="C29" s="3" t="str">
        <f>IF(B29="","",IFERROR(VLOOKUP(B29,Players!$A$4:$B$200,2,FALSE),""))</f>
        <v/>
      </c>
      <c r="D29" s="2"/>
      <c r="E29" s="2"/>
      <c r="F29" s="2"/>
      <c r="G29" s="3" t="str">
        <f t="shared" si="0"/>
        <v/>
      </c>
      <c r="H29" s="5" t="str">
        <f t="shared" si="1"/>
        <v/>
      </c>
      <c r="I29" s="2"/>
      <c r="J29" s="2"/>
      <c r="K29" s="2"/>
    </row>
    <row r="30" spans="1:11">
      <c r="A30" s="2"/>
      <c r="B30" s="2"/>
      <c r="C30" s="3" t="str">
        <f>IF(B30="","",IFERROR(VLOOKUP(B30,Players!$A$4:$B$200,2,FALSE),""))</f>
        <v/>
      </c>
      <c r="D30" s="2"/>
      <c r="E30" s="2"/>
      <c r="F30" s="2"/>
      <c r="G30" s="3" t="str">
        <f t="shared" si="0"/>
        <v/>
      </c>
      <c r="H30" s="5" t="str">
        <f t="shared" si="1"/>
        <v/>
      </c>
      <c r="I30" s="2"/>
      <c r="J30" s="2"/>
      <c r="K30" s="2"/>
    </row>
    <row r="31" spans="1:11">
      <c r="A31" s="2"/>
      <c r="B31" s="2"/>
      <c r="C31" s="3" t="str">
        <f>IF(B31="","",IFERROR(VLOOKUP(B31,Players!$A$4:$B$200,2,FALSE),""))</f>
        <v/>
      </c>
      <c r="D31" s="2"/>
      <c r="E31" s="2"/>
      <c r="F31" s="2"/>
      <c r="G31" s="3" t="str">
        <f t="shared" si="0"/>
        <v/>
      </c>
      <c r="H31" s="5" t="str">
        <f t="shared" si="1"/>
        <v/>
      </c>
      <c r="I31" s="2"/>
      <c r="J31" s="2"/>
      <c r="K31" s="2"/>
    </row>
    <row r="32" spans="1:11">
      <c r="A32" s="2"/>
      <c r="B32" s="2"/>
      <c r="C32" s="3" t="str">
        <f>IF(B32="","",IFERROR(VLOOKUP(B32,Players!$A$4:$B$200,2,FALSE),""))</f>
        <v/>
      </c>
      <c r="D32" s="2"/>
      <c r="E32" s="2"/>
      <c r="F32" s="2"/>
      <c r="G32" s="3" t="str">
        <f t="shared" si="0"/>
        <v/>
      </c>
      <c r="H32" s="5" t="str">
        <f t="shared" si="1"/>
        <v/>
      </c>
      <c r="I32" s="2"/>
      <c r="J32" s="2"/>
      <c r="K32" s="2"/>
    </row>
    <row r="33" spans="1:11">
      <c r="A33" s="2"/>
      <c r="B33" s="2"/>
      <c r="C33" s="3" t="str">
        <f>IF(B33="","",IFERROR(VLOOKUP(B33,Players!$A$4:$B$200,2,FALSE),""))</f>
        <v/>
      </c>
      <c r="D33" s="2"/>
      <c r="E33" s="2"/>
      <c r="F33" s="2"/>
      <c r="G33" s="3" t="str">
        <f t="shared" si="0"/>
        <v/>
      </c>
      <c r="H33" s="5" t="str">
        <f t="shared" si="1"/>
        <v/>
      </c>
      <c r="I33" s="2"/>
      <c r="J33" s="2"/>
      <c r="K33" s="2"/>
    </row>
    <row r="34" spans="1:11">
      <c r="A34" s="2"/>
      <c r="B34" s="2"/>
      <c r="C34" s="3" t="str">
        <f>IF(B34="","",IFERROR(VLOOKUP(B34,Players!$A$4:$B$200,2,FALSE),""))</f>
        <v/>
      </c>
      <c r="D34" s="2"/>
      <c r="E34" s="2"/>
      <c r="F34" s="2"/>
      <c r="G34" s="3" t="str">
        <f t="shared" si="0"/>
        <v/>
      </c>
      <c r="H34" s="5" t="str">
        <f t="shared" si="1"/>
        <v/>
      </c>
      <c r="I34" s="2"/>
      <c r="J34" s="2"/>
      <c r="K34" s="2"/>
    </row>
    <row r="35" spans="1:11">
      <c r="A35" s="2"/>
      <c r="B35" s="2"/>
      <c r="C35" s="3" t="str">
        <f>IF(B35="","",IFERROR(VLOOKUP(B35,Players!$A$4:$B$200,2,FALSE),""))</f>
        <v/>
      </c>
      <c r="D35" s="2"/>
      <c r="E35" s="2"/>
      <c r="F35" s="2"/>
      <c r="G35" s="3" t="str">
        <f t="shared" si="0"/>
        <v/>
      </c>
      <c r="H35" s="5" t="str">
        <f t="shared" si="1"/>
        <v/>
      </c>
      <c r="I35" s="2"/>
      <c r="J35" s="2"/>
      <c r="K35" s="2"/>
    </row>
    <row r="36" spans="1:11">
      <c r="A36" s="2"/>
      <c r="B36" s="2"/>
      <c r="C36" s="3" t="str">
        <f>IF(B36="","",IFERROR(VLOOKUP(B36,Players!$A$4:$B$200,2,FALSE),""))</f>
        <v/>
      </c>
      <c r="D36" s="2"/>
      <c r="E36" s="2"/>
      <c r="F36" s="2"/>
      <c r="G36" s="3" t="str">
        <f t="shared" ref="G36:G67" si="2">IF(E36="","",E36-F36)</f>
        <v/>
      </c>
      <c r="H36" s="5" t="str">
        <f t="shared" ref="H36:H67" si="3">IF(OR(E36="",E36=0),"",G36/E36)</f>
        <v/>
      </c>
      <c r="I36" s="2"/>
      <c r="J36" s="2"/>
      <c r="K36" s="2"/>
    </row>
    <row r="37" spans="1:11">
      <c r="A37" s="2"/>
      <c r="B37" s="2"/>
      <c r="C37" s="3" t="str">
        <f>IF(B37="","",IFERROR(VLOOKUP(B37,Players!$A$4:$B$200,2,FALSE),""))</f>
        <v/>
      </c>
      <c r="D37" s="2"/>
      <c r="E37" s="2"/>
      <c r="F37" s="2"/>
      <c r="G37" s="3" t="str">
        <f t="shared" si="2"/>
        <v/>
      </c>
      <c r="H37" s="5" t="str">
        <f t="shared" si="3"/>
        <v/>
      </c>
      <c r="I37" s="2"/>
      <c r="J37" s="2"/>
      <c r="K37" s="2"/>
    </row>
    <row r="38" spans="1:11">
      <c r="A38" s="2"/>
      <c r="B38" s="2"/>
      <c r="C38" s="3" t="str">
        <f>IF(B38="","",IFERROR(VLOOKUP(B38,Players!$A$4:$B$200,2,FALSE),""))</f>
        <v/>
      </c>
      <c r="D38" s="2"/>
      <c r="E38" s="2"/>
      <c r="F38" s="2"/>
      <c r="G38" s="3" t="str">
        <f t="shared" si="2"/>
        <v/>
      </c>
      <c r="H38" s="5" t="str">
        <f t="shared" si="3"/>
        <v/>
      </c>
      <c r="I38" s="2"/>
      <c r="J38" s="2"/>
      <c r="K38" s="2"/>
    </row>
    <row r="39" spans="1:11">
      <c r="A39" s="2"/>
      <c r="B39" s="2"/>
      <c r="C39" s="3" t="str">
        <f>IF(B39="","",IFERROR(VLOOKUP(B39,Players!$A$4:$B$200,2,FALSE),""))</f>
        <v/>
      </c>
      <c r="D39" s="2"/>
      <c r="E39" s="2"/>
      <c r="F39" s="2"/>
      <c r="G39" s="3" t="str">
        <f t="shared" si="2"/>
        <v/>
      </c>
      <c r="H39" s="5" t="str">
        <f t="shared" si="3"/>
        <v/>
      </c>
      <c r="I39" s="2"/>
      <c r="J39" s="2"/>
      <c r="K39" s="2"/>
    </row>
    <row r="40" spans="1:11">
      <c r="A40" s="2"/>
      <c r="B40" s="2"/>
      <c r="C40" s="3" t="str">
        <f>IF(B40="","",IFERROR(VLOOKUP(B40,Players!$A$4:$B$200,2,FALSE),""))</f>
        <v/>
      </c>
      <c r="D40" s="2"/>
      <c r="E40" s="2"/>
      <c r="F40" s="2"/>
      <c r="G40" s="3" t="str">
        <f t="shared" si="2"/>
        <v/>
      </c>
      <c r="H40" s="5" t="str">
        <f t="shared" si="3"/>
        <v/>
      </c>
      <c r="I40" s="2"/>
      <c r="J40" s="2"/>
      <c r="K40" s="2"/>
    </row>
    <row r="41" spans="1:11">
      <c r="A41" s="2"/>
      <c r="B41" s="2"/>
      <c r="C41" s="3" t="str">
        <f>IF(B41="","",IFERROR(VLOOKUP(B41,Players!$A$4:$B$200,2,FALSE),""))</f>
        <v/>
      </c>
      <c r="D41" s="2"/>
      <c r="E41" s="2"/>
      <c r="F41" s="2"/>
      <c r="G41" s="3" t="str">
        <f t="shared" si="2"/>
        <v/>
      </c>
      <c r="H41" s="5" t="str">
        <f t="shared" si="3"/>
        <v/>
      </c>
      <c r="I41" s="2"/>
      <c r="J41" s="2"/>
      <c r="K41" s="2"/>
    </row>
    <row r="42" spans="1:11">
      <c r="A42" s="2"/>
      <c r="B42" s="2"/>
      <c r="C42" s="3" t="str">
        <f>IF(B42="","",IFERROR(VLOOKUP(B42,Players!$A$4:$B$200,2,FALSE),""))</f>
        <v/>
      </c>
      <c r="D42" s="2"/>
      <c r="E42" s="2"/>
      <c r="F42" s="2"/>
      <c r="G42" s="3" t="str">
        <f t="shared" si="2"/>
        <v/>
      </c>
      <c r="H42" s="5" t="str">
        <f t="shared" si="3"/>
        <v/>
      </c>
      <c r="I42" s="2"/>
      <c r="J42" s="2"/>
      <c r="K42" s="2"/>
    </row>
    <row r="43" spans="1:11">
      <c r="A43" s="2"/>
      <c r="B43" s="2"/>
      <c r="C43" s="3" t="str">
        <f>IF(B43="","",IFERROR(VLOOKUP(B43,Players!$A$4:$B$200,2,FALSE),""))</f>
        <v/>
      </c>
      <c r="D43" s="2"/>
      <c r="E43" s="2"/>
      <c r="F43" s="2"/>
      <c r="G43" s="3" t="str">
        <f t="shared" si="2"/>
        <v/>
      </c>
      <c r="H43" s="5" t="str">
        <f t="shared" si="3"/>
        <v/>
      </c>
      <c r="I43" s="2"/>
      <c r="J43" s="2"/>
      <c r="K43" s="2"/>
    </row>
    <row r="44" spans="1:11">
      <c r="A44" s="2"/>
      <c r="B44" s="2"/>
      <c r="C44" s="3" t="str">
        <f>IF(B44="","",IFERROR(VLOOKUP(B44,Players!$A$4:$B$200,2,FALSE),""))</f>
        <v/>
      </c>
      <c r="D44" s="2"/>
      <c r="E44" s="2"/>
      <c r="F44" s="2"/>
      <c r="G44" s="3" t="str">
        <f t="shared" si="2"/>
        <v/>
      </c>
      <c r="H44" s="5" t="str">
        <f t="shared" si="3"/>
        <v/>
      </c>
      <c r="I44" s="2"/>
      <c r="J44" s="2"/>
      <c r="K44" s="2"/>
    </row>
    <row r="45" spans="1:11">
      <c r="A45" s="2"/>
      <c r="B45" s="2"/>
      <c r="C45" s="3" t="str">
        <f>IF(B45="","",IFERROR(VLOOKUP(B45,Players!$A$4:$B$200,2,FALSE),""))</f>
        <v/>
      </c>
      <c r="D45" s="2"/>
      <c r="E45" s="2"/>
      <c r="F45" s="2"/>
      <c r="G45" s="3" t="str">
        <f t="shared" si="2"/>
        <v/>
      </c>
      <c r="H45" s="5" t="str">
        <f t="shared" si="3"/>
        <v/>
      </c>
      <c r="I45" s="2"/>
      <c r="J45" s="2"/>
      <c r="K45" s="2"/>
    </row>
    <row r="46" spans="1:11">
      <c r="A46" s="2"/>
      <c r="B46" s="2"/>
      <c r="C46" s="3" t="str">
        <f>IF(B46="","",IFERROR(VLOOKUP(B46,Players!$A$4:$B$200,2,FALSE),""))</f>
        <v/>
      </c>
      <c r="D46" s="2"/>
      <c r="E46" s="2"/>
      <c r="F46" s="2"/>
      <c r="G46" s="3" t="str">
        <f t="shared" si="2"/>
        <v/>
      </c>
      <c r="H46" s="5" t="str">
        <f t="shared" si="3"/>
        <v/>
      </c>
      <c r="I46" s="2"/>
      <c r="J46" s="2"/>
      <c r="K46" s="2"/>
    </row>
    <row r="47" spans="1:11">
      <c r="A47" s="2"/>
      <c r="B47" s="2"/>
      <c r="C47" s="3" t="str">
        <f>IF(B47="","",IFERROR(VLOOKUP(B47,Players!$A$4:$B$200,2,FALSE),""))</f>
        <v/>
      </c>
      <c r="D47" s="2"/>
      <c r="E47" s="2"/>
      <c r="F47" s="2"/>
      <c r="G47" s="3" t="str">
        <f t="shared" si="2"/>
        <v/>
      </c>
      <c r="H47" s="5" t="str">
        <f t="shared" si="3"/>
        <v/>
      </c>
      <c r="I47" s="2"/>
      <c r="J47" s="2"/>
      <c r="K47" s="2"/>
    </row>
    <row r="48" spans="1:11">
      <c r="A48" s="2"/>
      <c r="B48" s="2"/>
      <c r="C48" s="3" t="str">
        <f>IF(B48="","",IFERROR(VLOOKUP(B48,Players!$A$4:$B$200,2,FALSE),""))</f>
        <v/>
      </c>
      <c r="D48" s="2"/>
      <c r="E48" s="2"/>
      <c r="F48" s="2"/>
      <c r="G48" s="3" t="str">
        <f t="shared" si="2"/>
        <v/>
      </c>
      <c r="H48" s="5" t="str">
        <f t="shared" si="3"/>
        <v/>
      </c>
      <c r="I48" s="2"/>
      <c r="J48" s="2"/>
      <c r="K48" s="2"/>
    </row>
    <row r="49" spans="1:11">
      <c r="A49" s="2"/>
      <c r="B49" s="2"/>
      <c r="C49" s="3" t="str">
        <f>IF(B49="","",IFERROR(VLOOKUP(B49,Players!$A$4:$B$200,2,FALSE),""))</f>
        <v/>
      </c>
      <c r="D49" s="2"/>
      <c r="E49" s="2"/>
      <c r="F49" s="2"/>
      <c r="G49" s="3" t="str">
        <f t="shared" si="2"/>
        <v/>
      </c>
      <c r="H49" s="5" t="str">
        <f t="shared" si="3"/>
        <v/>
      </c>
      <c r="I49" s="2"/>
      <c r="J49" s="2"/>
      <c r="K49" s="2"/>
    </row>
    <row r="50" spans="1:11">
      <c r="A50" s="2"/>
      <c r="B50" s="2"/>
      <c r="C50" s="3" t="str">
        <f>IF(B50="","",IFERROR(VLOOKUP(B50,Players!$A$4:$B$200,2,FALSE),""))</f>
        <v/>
      </c>
      <c r="D50" s="2"/>
      <c r="E50" s="2"/>
      <c r="F50" s="2"/>
      <c r="G50" s="3" t="str">
        <f t="shared" si="2"/>
        <v/>
      </c>
      <c r="H50" s="5" t="str">
        <f t="shared" si="3"/>
        <v/>
      </c>
      <c r="I50" s="2"/>
      <c r="J50" s="2"/>
      <c r="K50" s="2"/>
    </row>
    <row r="51" spans="1:11">
      <c r="A51" s="2"/>
      <c r="B51" s="2"/>
      <c r="C51" s="3" t="str">
        <f>IF(B51="","",IFERROR(VLOOKUP(B51,Players!$A$4:$B$200,2,FALSE),""))</f>
        <v/>
      </c>
      <c r="D51" s="2"/>
      <c r="E51" s="2"/>
      <c r="F51" s="2"/>
      <c r="G51" s="3" t="str">
        <f t="shared" si="2"/>
        <v/>
      </c>
      <c r="H51" s="5" t="str">
        <f t="shared" si="3"/>
        <v/>
      </c>
      <c r="I51" s="2"/>
      <c r="J51" s="2"/>
      <c r="K51" s="2"/>
    </row>
    <row r="52" spans="1:11">
      <c r="A52" s="2"/>
      <c r="B52" s="2"/>
      <c r="C52" s="3" t="str">
        <f>IF(B52="","",IFERROR(VLOOKUP(B52,Players!$A$4:$B$200,2,FALSE),""))</f>
        <v/>
      </c>
      <c r="D52" s="2"/>
      <c r="E52" s="2"/>
      <c r="F52" s="2"/>
      <c r="G52" s="3" t="str">
        <f t="shared" si="2"/>
        <v/>
      </c>
      <c r="H52" s="5" t="str">
        <f t="shared" si="3"/>
        <v/>
      </c>
      <c r="I52" s="2"/>
      <c r="J52" s="2"/>
      <c r="K52" s="2"/>
    </row>
    <row r="53" spans="1:11">
      <c r="A53" s="2"/>
      <c r="B53" s="2"/>
      <c r="C53" s="3" t="str">
        <f>IF(B53="","",IFERROR(VLOOKUP(B53,Players!$A$4:$B$200,2,FALSE),""))</f>
        <v/>
      </c>
      <c r="D53" s="2"/>
      <c r="E53" s="2"/>
      <c r="F53" s="2"/>
      <c r="G53" s="3" t="str">
        <f t="shared" si="2"/>
        <v/>
      </c>
      <c r="H53" s="5" t="str">
        <f t="shared" si="3"/>
        <v/>
      </c>
      <c r="I53" s="2"/>
      <c r="J53" s="2"/>
      <c r="K53" s="2"/>
    </row>
    <row r="54" spans="1:11">
      <c r="A54" s="2"/>
      <c r="B54" s="2"/>
      <c r="C54" s="3" t="str">
        <f>IF(B54="","",IFERROR(VLOOKUP(B54,Players!$A$4:$B$200,2,FALSE),""))</f>
        <v/>
      </c>
      <c r="D54" s="2"/>
      <c r="E54" s="2"/>
      <c r="F54" s="2"/>
      <c r="G54" s="3" t="str">
        <f t="shared" si="2"/>
        <v/>
      </c>
      <c r="H54" s="5" t="str">
        <f t="shared" si="3"/>
        <v/>
      </c>
      <c r="I54" s="2"/>
      <c r="J54" s="2"/>
      <c r="K54" s="2"/>
    </row>
    <row r="55" spans="1:11">
      <c r="A55" s="2"/>
      <c r="B55" s="2"/>
      <c r="C55" s="3" t="str">
        <f>IF(B55="","",IFERROR(VLOOKUP(B55,Players!$A$4:$B$200,2,FALSE),""))</f>
        <v/>
      </c>
      <c r="D55" s="2"/>
      <c r="E55" s="2"/>
      <c r="F55" s="2"/>
      <c r="G55" s="3" t="str">
        <f t="shared" si="2"/>
        <v/>
      </c>
      <c r="H55" s="5" t="str">
        <f t="shared" si="3"/>
        <v/>
      </c>
      <c r="I55" s="2"/>
      <c r="J55" s="2"/>
      <c r="K55" s="2"/>
    </row>
    <row r="56" spans="1:11">
      <c r="A56" s="2"/>
      <c r="B56" s="2"/>
      <c r="C56" s="3" t="str">
        <f>IF(B56="","",IFERROR(VLOOKUP(B56,Players!$A$4:$B$200,2,FALSE),""))</f>
        <v/>
      </c>
      <c r="D56" s="2"/>
      <c r="E56" s="2"/>
      <c r="F56" s="2"/>
      <c r="G56" s="3" t="str">
        <f t="shared" si="2"/>
        <v/>
      </c>
      <c r="H56" s="5" t="str">
        <f t="shared" si="3"/>
        <v/>
      </c>
      <c r="I56" s="2"/>
      <c r="J56" s="2"/>
      <c r="K56" s="2"/>
    </row>
    <row r="57" spans="1:11">
      <c r="A57" s="2"/>
      <c r="B57" s="2"/>
      <c r="C57" s="3" t="str">
        <f>IF(B57="","",IFERROR(VLOOKUP(B57,Players!$A$4:$B$200,2,FALSE),""))</f>
        <v/>
      </c>
      <c r="D57" s="2"/>
      <c r="E57" s="2"/>
      <c r="F57" s="2"/>
      <c r="G57" s="3" t="str">
        <f t="shared" si="2"/>
        <v/>
      </c>
      <c r="H57" s="5" t="str">
        <f t="shared" si="3"/>
        <v/>
      </c>
      <c r="I57" s="2"/>
      <c r="J57" s="2"/>
      <c r="K57" s="2"/>
    </row>
    <row r="58" spans="1:11">
      <c r="A58" s="2"/>
      <c r="B58" s="2"/>
      <c r="C58" s="3" t="str">
        <f>IF(B58="","",IFERROR(VLOOKUP(B58,Players!$A$4:$B$200,2,FALSE),""))</f>
        <v/>
      </c>
      <c r="D58" s="2"/>
      <c r="E58" s="2"/>
      <c r="F58" s="2"/>
      <c r="G58" s="3" t="str">
        <f t="shared" si="2"/>
        <v/>
      </c>
      <c r="H58" s="5" t="str">
        <f t="shared" si="3"/>
        <v/>
      </c>
      <c r="I58" s="2"/>
      <c r="J58" s="2"/>
      <c r="K58" s="2"/>
    </row>
    <row r="59" spans="1:11">
      <c r="A59" s="2"/>
      <c r="B59" s="2"/>
      <c r="C59" s="3" t="str">
        <f>IF(B59="","",IFERROR(VLOOKUP(B59,Players!$A$4:$B$200,2,FALSE),""))</f>
        <v/>
      </c>
      <c r="D59" s="2"/>
      <c r="E59" s="2"/>
      <c r="F59" s="2"/>
      <c r="G59" s="3" t="str">
        <f t="shared" si="2"/>
        <v/>
      </c>
      <c r="H59" s="5" t="str">
        <f t="shared" si="3"/>
        <v/>
      </c>
      <c r="I59" s="2"/>
      <c r="J59" s="2"/>
      <c r="K59" s="2"/>
    </row>
    <row r="60" spans="1:11">
      <c r="A60" s="2"/>
      <c r="B60" s="2"/>
      <c r="C60" s="3" t="str">
        <f>IF(B60="","",IFERROR(VLOOKUP(B60,Players!$A$4:$B$200,2,FALSE),""))</f>
        <v/>
      </c>
      <c r="D60" s="2"/>
      <c r="E60" s="2"/>
      <c r="F60" s="2"/>
      <c r="G60" s="3" t="str">
        <f t="shared" si="2"/>
        <v/>
      </c>
      <c r="H60" s="5" t="str">
        <f t="shared" si="3"/>
        <v/>
      </c>
      <c r="I60" s="2"/>
      <c r="J60" s="2"/>
      <c r="K60" s="2"/>
    </row>
    <row r="61" spans="1:11">
      <c r="A61" s="2"/>
      <c r="B61" s="2"/>
      <c r="C61" s="3" t="str">
        <f>IF(B61="","",IFERROR(VLOOKUP(B61,Players!$A$4:$B$200,2,FALSE),""))</f>
        <v/>
      </c>
      <c r="D61" s="2"/>
      <c r="E61" s="2"/>
      <c r="F61" s="2"/>
      <c r="G61" s="3" t="str">
        <f t="shared" si="2"/>
        <v/>
      </c>
      <c r="H61" s="5" t="str">
        <f t="shared" si="3"/>
        <v/>
      </c>
      <c r="I61" s="2"/>
      <c r="J61" s="2"/>
      <c r="K61" s="2"/>
    </row>
    <row r="62" spans="1:11">
      <c r="A62" s="2"/>
      <c r="B62" s="2"/>
      <c r="C62" s="3" t="str">
        <f>IF(B62="","",IFERROR(VLOOKUP(B62,Players!$A$4:$B$200,2,FALSE),""))</f>
        <v/>
      </c>
      <c r="D62" s="2"/>
      <c r="E62" s="2"/>
      <c r="F62" s="2"/>
      <c r="G62" s="3" t="str">
        <f t="shared" si="2"/>
        <v/>
      </c>
      <c r="H62" s="5" t="str">
        <f t="shared" si="3"/>
        <v/>
      </c>
      <c r="I62" s="2"/>
      <c r="J62" s="2"/>
      <c r="K62" s="2"/>
    </row>
    <row r="63" spans="1:11">
      <c r="A63" s="2"/>
      <c r="B63" s="2"/>
      <c r="C63" s="3" t="str">
        <f>IF(B63="","",IFERROR(VLOOKUP(B63,Players!$A$4:$B$200,2,FALSE),""))</f>
        <v/>
      </c>
      <c r="D63" s="2"/>
      <c r="E63" s="2"/>
      <c r="F63" s="2"/>
      <c r="G63" s="3" t="str">
        <f t="shared" si="2"/>
        <v/>
      </c>
      <c r="H63" s="5" t="str">
        <f t="shared" si="3"/>
        <v/>
      </c>
      <c r="I63" s="2"/>
      <c r="J63" s="2"/>
      <c r="K63" s="2"/>
    </row>
    <row r="64" spans="1:11">
      <c r="A64" s="2"/>
      <c r="B64" s="2"/>
      <c r="C64" s="3" t="str">
        <f>IF(B64="","",IFERROR(VLOOKUP(B64,Players!$A$4:$B$200,2,FALSE),""))</f>
        <v/>
      </c>
      <c r="D64" s="2"/>
      <c r="E64" s="2"/>
      <c r="F64" s="2"/>
      <c r="G64" s="3" t="str">
        <f t="shared" si="2"/>
        <v/>
      </c>
      <c r="H64" s="5" t="str">
        <f t="shared" si="3"/>
        <v/>
      </c>
      <c r="I64" s="2"/>
      <c r="J64" s="2"/>
      <c r="K64" s="2"/>
    </row>
    <row r="65" spans="1:11">
      <c r="A65" s="2"/>
      <c r="B65" s="2"/>
      <c r="C65" s="3" t="str">
        <f>IF(B65="","",IFERROR(VLOOKUP(B65,Players!$A$4:$B$200,2,FALSE),""))</f>
        <v/>
      </c>
      <c r="D65" s="2"/>
      <c r="E65" s="2"/>
      <c r="F65" s="2"/>
      <c r="G65" s="3" t="str">
        <f t="shared" si="2"/>
        <v/>
      </c>
      <c r="H65" s="5" t="str">
        <f t="shared" si="3"/>
        <v/>
      </c>
      <c r="I65" s="2"/>
      <c r="J65" s="2"/>
      <c r="K65" s="2"/>
    </row>
    <row r="66" spans="1:11">
      <c r="A66" s="2"/>
      <c r="B66" s="2"/>
      <c r="C66" s="3" t="str">
        <f>IF(B66="","",IFERROR(VLOOKUP(B66,Players!$A$4:$B$200,2,FALSE),""))</f>
        <v/>
      </c>
      <c r="D66" s="2"/>
      <c r="E66" s="2"/>
      <c r="F66" s="2"/>
      <c r="G66" s="3" t="str">
        <f t="shared" si="2"/>
        <v/>
      </c>
      <c r="H66" s="5" t="str">
        <f t="shared" si="3"/>
        <v/>
      </c>
      <c r="I66" s="2"/>
      <c r="J66" s="2"/>
      <c r="K66" s="2"/>
    </row>
    <row r="67" spans="1:11">
      <c r="A67" s="2"/>
      <c r="B67" s="2"/>
      <c r="C67" s="3" t="str">
        <f>IF(B67="","",IFERROR(VLOOKUP(B67,Players!$A$4:$B$200,2,FALSE),""))</f>
        <v/>
      </c>
      <c r="D67" s="2"/>
      <c r="E67" s="2"/>
      <c r="F67" s="2"/>
      <c r="G67" s="3" t="str">
        <f t="shared" si="2"/>
        <v/>
      </c>
      <c r="H67" s="5" t="str">
        <f t="shared" si="3"/>
        <v/>
      </c>
      <c r="I67" s="2"/>
      <c r="J67" s="2"/>
      <c r="K67" s="2"/>
    </row>
    <row r="68" spans="1:11">
      <c r="A68" s="2"/>
      <c r="B68" s="2"/>
      <c r="C68" s="3" t="str">
        <f>IF(B68="","",IFERROR(VLOOKUP(B68,Players!$A$4:$B$200,2,FALSE),""))</f>
        <v/>
      </c>
      <c r="D68" s="2"/>
      <c r="E68" s="2"/>
      <c r="F68" s="2"/>
      <c r="G68" s="3" t="str">
        <f t="shared" ref="G68:G99" si="4">IF(E68="","",E68-F68)</f>
        <v/>
      </c>
      <c r="H68" s="5" t="str">
        <f t="shared" ref="H68:H99" si="5">IF(OR(E68="",E68=0),"",G68/E68)</f>
        <v/>
      </c>
      <c r="I68" s="2"/>
      <c r="J68" s="2"/>
      <c r="K68" s="2"/>
    </row>
    <row r="69" spans="1:11">
      <c r="A69" s="2"/>
      <c r="B69" s="2"/>
      <c r="C69" s="3" t="str">
        <f>IF(B69="","",IFERROR(VLOOKUP(B69,Players!$A$4:$B$200,2,FALSE),""))</f>
        <v/>
      </c>
      <c r="D69" s="2"/>
      <c r="E69" s="2"/>
      <c r="F69" s="2"/>
      <c r="G69" s="3" t="str">
        <f t="shared" si="4"/>
        <v/>
      </c>
      <c r="H69" s="5" t="str">
        <f t="shared" si="5"/>
        <v/>
      </c>
      <c r="I69" s="2"/>
      <c r="J69" s="2"/>
      <c r="K69" s="2"/>
    </row>
    <row r="70" spans="1:11">
      <c r="A70" s="2"/>
      <c r="B70" s="2"/>
      <c r="C70" s="3" t="str">
        <f>IF(B70="","",IFERROR(VLOOKUP(B70,Players!$A$4:$B$200,2,FALSE),""))</f>
        <v/>
      </c>
      <c r="D70" s="2"/>
      <c r="E70" s="2"/>
      <c r="F70" s="2"/>
      <c r="G70" s="3" t="str">
        <f t="shared" si="4"/>
        <v/>
      </c>
      <c r="H70" s="5" t="str">
        <f t="shared" si="5"/>
        <v/>
      </c>
      <c r="I70" s="2"/>
      <c r="J70" s="2"/>
      <c r="K70" s="2"/>
    </row>
    <row r="71" spans="1:11">
      <c r="A71" s="2"/>
      <c r="B71" s="2"/>
      <c r="C71" s="3" t="str">
        <f>IF(B71="","",IFERROR(VLOOKUP(B71,Players!$A$4:$B$200,2,FALSE),""))</f>
        <v/>
      </c>
      <c r="D71" s="2"/>
      <c r="E71" s="2"/>
      <c r="F71" s="2"/>
      <c r="G71" s="3" t="str">
        <f t="shared" si="4"/>
        <v/>
      </c>
      <c r="H71" s="5" t="str">
        <f t="shared" si="5"/>
        <v/>
      </c>
      <c r="I71" s="2"/>
      <c r="J71" s="2"/>
      <c r="K71" s="2"/>
    </row>
    <row r="72" spans="1:11">
      <c r="A72" s="2"/>
      <c r="B72" s="2"/>
      <c r="C72" s="3" t="str">
        <f>IF(B72="","",IFERROR(VLOOKUP(B72,Players!$A$4:$B$200,2,FALSE),""))</f>
        <v/>
      </c>
      <c r="D72" s="2"/>
      <c r="E72" s="2"/>
      <c r="F72" s="2"/>
      <c r="G72" s="3" t="str">
        <f t="shared" si="4"/>
        <v/>
      </c>
      <c r="H72" s="5" t="str">
        <f t="shared" si="5"/>
        <v/>
      </c>
      <c r="I72" s="2"/>
      <c r="J72" s="2"/>
      <c r="K72" s="2"/>
    </row>
    <row r="73" spans="1:11">
      <c r="A73" s="2"/>
      <c r="B73" s="2"/>
      <c r="C73" s="3" t="str">
        <f>IF(B73="","",IFERROR(VLOOKUP(B73,Players!$A$4:$B$200,2,FALSE),""))</f>
        <v/>
      </c>
      <c r="D73" s="2"/>
      <c r="E73" s="2"/>
      <c r="F73" s="2"/>
      <c r="G73" s="3" t="str">
        <f t="shared" si="4"/>
        <v/>
      </c>
      <c r="H73" s="5" t="str">
        <f t="shared" si="5"/>
        <v/>
      </c>
      <c r="I73" s="2"/>
      <c r="J73" s="2"/>
      <c r="K73" s="2"/>
    </row>
    <row r="74" spans="1:11">
      <c r="A74" s="2"/>
      <c r="B74" s="2"/>
      <c r="C74" s="3" t="str">
        <f>IF(B74="","",IFERROR(VLOOKUP(B74,Players!$A$4:$B$200,2,FALSE),""))</f>
        <v/>
      </c>
      <c r="D74" s="2"/>
      <c r="E74" s="2"/>
      <c r="F74" s="2"/>
      <c r="G74" s="3" t="str">
        <f t="shared" si="4"/>
        <v/>
      </c>
      <c r="H74" s="5" t="str">
        <f t="shared" si="5"/>
        <v/>
      </c>
      <c r="I74" s="2"/>
      <c r="J74" s="2"/>
      <c r="K74" s="2"/>
    </row>
    <row r="75" spans="1:11">
      <c r="A75" s="2"/>
      <c r="B75" s="2"/>
      <c r="C75" s="3" t="str">
        <f>IF(B75="","",IFERROR(VLOOKUP(B75,Players!$A$4:$B$200,2,FALSE),""))</f>
        <v/>
      </c>
      <c r="D75" s="2"/>
      <c r="E75" s="2"/>
      <c r="F75" s="2"/>
      <c r="G75" s="3" t="str">
        <f t="shared" si="4"/>
        <v/>
      </c>
      <c r="H75" s="5" t="str">
        <f t="shared" si="5"/>
        <v/>
      </c>
      <c r="I75" s="2"/>
      <c r="J75" s="2"/>
      <c r="K75" s="2"/>
    </row>
    <row r="76" spans="1:11">
      <c r="A76" s="2"/>
      <c r="B76" s="2"/>
      <c r="C76" s="3" t="str">
        <f>IF(B76="","",IFERROR(VLOOKUP(B76,Players!$A$4:$B$200,2,FALSE),""))</f>
        <v/>
      </c>
      <c r="D76" s="2"/>
      <c r="E76" s="2"/>
      <c r="F76" s="2"/>
      <c r="G76" s="3" t="str">
        <f t="shared" si="4"/>
        <v/>
      </c>
      <c r="H76" s="5" t="str">
        <f t="shared" si="5"/>
        <v/>
      </c>
      <c r="I76" s="2"/>
      <c r="J76" s="2"/>
      <c r="K76" s="2"/>
    </row>
    <row r="77" spans="1:11">
      <c r="A77" s="2"/>
      <c r="B77" s="2"/>
      <c r="C77" s="3" t="str">
        <f>IF(B77="","",IFERROR(VLOOKUP(B77,Players!$A$4:$B$200,2,FALSE),""))</f>
        <v/>
      </c>
      <c r="D77" s="2"/>
      <c r="E77" s="2"/>
      <c r="F77" s="2"/>
      <c r="G77" s="3" t="str">
        <f t="shared" si="4"/>
        <v/>
      </c>
      <c r="H77" s="5" t="str">
        <f t="shared" si="5"/>
        <v/>
      </c>
      <c r="I77" s="2"/>
      <c r="J77" s="2"/>
      <c r="K77" s="2"/>
    </row>
    <row r="78" spans="1:11">
      <c r="A78" s="2"/>
      <c r="B78" s="2"/>
      <c r="C78" s="3" t="str">
        <f>IF(B78="","",IFERROR(VLOOKUP(B78,Players!$A$4:$B$200,2,FALSE),""))</f>
        <v/>
      </c>
      <c r="D78" s="2"/>
      <c r="E78" s="2"/>
      <c r="F78" s="2"/>
      <c r="G78" s="3" t="str">
        <f t="shared" si="4"/>
        <v/>
      </c>
      <c r="H78" s="5" t="str">
        <f t="shared" si="5"/>
        <v/>
      </c>
      <c r="I78" s="2"/>
      <c r="J78" s="2"/>
      <c r="K78" s="2"/>
    </row>
    <row r="79" spans="1:11">
      <c r="A79" s="2"/>
      <c r="B79" s="2"/>
      <c r="C79" s="3" t="str">
        <f>IF(B79="","",IFERROR(VLOOKUP(B79,Players!$A$4:$B$200,2,FALSE),""))</f>
        <v/>
      </c>
      <c r="D79" s="2"/>
      <c r="E79" s="2"/>
      <c r="F79" s="2"/>
      <c r="G79" s="3" t="str">
        <f t="shared" si="4"/>
        <v/>
      </c>
      <c r="H79" s="5" t="str">
        <f t="shared" si="5"/>
        <v/>
      </c>
      <c r="I79" s="2"/>
      <c r="J79" s="2"/>
      <c r="K79" s="2"/>
    </row>
    <row r="80" spans="1:11">
      <c r="A80" s="2"/>
      <c r="B80" s="2"/>
      <c r="C80" s="3" t="str">
        <f>IF(B80="","",IFERROR(VLOOKUP(B80,Players!$A$4:$B$200,2,FALSE),""))</f>
        <v/>
      </c>
      <c r="D80" s="2"/>
      <c r="E80" s="2"/>
      <c r="F80" s="2"/>
      <c r="G80" s="3" t="str">
        <f t="shared" si="4"/>
        <v/>
      </c>
      <c r="H80" s="5" t="str">
        <f t="shared" si="5"/>
        <v/>
      </c>
      <c r="I80" s="2"/>
      <c r="J80" s="2"/>
      <c r="K80" s="2"/>
    </row>
    <row r="81" spans="1:11">
      <c r="A81" s="2"/>
      <c r="B81" s="2"/>
      <c r="C81" s="3" t="str">
        <f>IF(B81="","",IFERROR(VLOOKUP(B81,Players!$A$4:$B$200,2,FALSE),""))</f>
        <v/>
      </c>
      <c r="D81" s="2"/>
      <c r="E81" s="2"/>
      <c r="F81" s="2"/>
      <c r="G81" s="3" t="str">
        <f t="shared" si="4"/>
        <v/>
      </c>
      <c r="H81" s="5" t="str">
        <f t="shared" si="5"/>
        <v/>
      </c>
      <c r="I81" s="2"/>
      <c r="J81" s="2"/>
      <c r="K81" s="2"/>
    </row>
    <row r="82" spans="1:11">
      <c r="A82" s="2"/>
      <c r="B82" s="2"/>
      <c r="C82" s="3" t="str">
        <f>IF(B82="","",IFERROR(VLOOKUP(B82,Players!$A$4:$B$200,2,FALSE),""))</f>
        <v/>
      </c>
      <c r="D82" s="2"/>
      <c r="E82" s="2"/>
      <c r="F82" s="2"/>
      <c r="G82" s="3" t="str">
        <f t="shared" si="4"/>
        <v/>
      </c>
      <c r="H82" s="5" t="str">
        <f t="shared" si="5"/>
        <v/>
      </c>
      <c r="I82" s="2"/>
      <c r="J82" s="2"/>
      <c r="K82" s="2"/>
    </row>
    <row r="83" spans="1:11">
      <c r="A83" s="2"/>
      <c r="B83" s="2"/>
      <c r="C83" s="3" t="str">
        <f>IF(B83="","",IFERROR(VLOOKUP(B83,Players!$A$4:$B$200,2,FALSE),""))</f>
        <v/>
      </c>
      <c r="D83" s="2"/>
      <c r="E83" s="2"/>
      <c r="F83" s="2"/>
      <c r="G83" s="3" t="str">
        <f t="shared" si="4"/>
        <v/>
      </c>
      <c r="H83" s="5" t="str">
        <f t="shared" si="5"/>
        <v/>
      </c>
      <c r="I83" s="2"/>
      <c r="J83" s="2"/>
      <c r="K83" s="2"/>
    </row>
    <row r="84" spans="1:11">
      <c r="A84" s="2"/>
      <c r="B84" s="2"/>
      <c r="C84" s="3" t="str">
        <f>IF(B84="","",IFERROR(VLOOKUP(B84,Players!$A$4:$B$200,2,FALSE),""))</f>
        <v/>
      </c>
      <c r="D84" s="2"/>
      <c r="E84" s="2"/>
      <c r="F84" s="2"/>
      <c r="G84" s="3" t="str">
        <f t="shared" si="4"/>
        <v/>
      </c>
      <c r="H84" s="5" t="str">
        <f t="shared" si="5"/>
        <v/>
      </c>
      <c r="I84" s="2"/>
      <c r="J84" s="2"/>
      <c r="K84" s="2"/>
    </row>
    <row r="85" spans="1:11">
      <c r="A85" s="2"/>
      <c r="B85" s="2"/>
      <c r="C85" s="3" t="str">
        <f>IF(B85="","",IFERROR(VLOOKUP(B85,Players!$A$4:$B$200,2,FALSE),""))</f>
        <v/>
      </c>
      <c r="D85" s="2"/>
      <c r="E85" s="2"/>
      <c r="F85" s="2"/>
      <c r="G85" s="3" t="str">
        <f t="shared" si="4"/>
        <v/>
      </c>
      <c r="H85" s="5" t="str">
        <f t="shared" si="5"/>
        <v/>
      </c>
      <c r="I85" s="2"/>
      <c r="J85" s="2"/>
      <c r="K85" s="2"/>
    </row>
    <row r="86" spans="1:11">
      <c r="A86" s="2"/>
      <c r="B86" s="2"/>
      <c r="C86" s="3" t="str">
        <f>IF(B86="","",IFERROR(VLOOKUP(B86,Players!$A$4:$B$200,2,FALSE),""))</f>
        <v/>
      </c>
      <c r="D86" s="2"/>
      <c r="E86" s="2"/>
      <c r="F86" s="2"/>
      <c r="G86" s="3" t="str">
        <f t="shared" si="4"/>
        <v/>
      </c>
      <c r="H86" s="5" t="str">
        <f t="shared" si="5"/>
        <v/>
      </c>
      <c r="I86" s="2"/>
      <c r="J86" s="2"/>
      <c r="K86" s="2"/>
    </row>
    <row r="87" spans="1:11">
      <c r="A87" s="2"/>
      <c r="B87" s="2"/>
      <c r="C87" s="3" t="str">
        <f>IF(B87="","",IFERROR(VLOOKUP(B87,Players!$A$4:$B$200,2,FALSE),""))</f>
        <v/>
      </c>
      <c r="D87" s="2"/>
      <c r="E87" s="2"/>
      <c r="F87" s="2"/>
      <c r="G87" s="3" t="str">
        <f t="shared" si="4"/>
        <v/>
      </c>
      <c r="H87" s="5" t="str">
        <f t="shared" si="5"/>
        <v/>
      </c>
      <c r="I87" s="2"/>
      <c r="J87" s="2"/>
      <c r="K87" s="2"/>
    </row>
    <row r="88" spans="1:11">
      <c r="A88" s="2"/>
      <c r="B88" s="2"/>
      <c r="C88" s="3" t="str">
        <f>IF(B88="","",IFERROR(VLOOKUP(B88,Players!$A$4:$B$200,2,FALSE),""))</f>
        <v/>
      </c>
      <c r="D88" s="2"/>
      <c r="E88" s="2"/>
      <c r="F88" s="2"/>
      <c r="G88" s="3" t="str">
        <f t="shared" si="4"/>
        <v/>
      </c>
      <c r="H88" s="5" t="str">
        <f t="shared" si="5"/>
        <v/>
      </c>
      <c r="I88" s="2"/>
      <c r="J88" s="2"/>
      <c r="K88" s="2"/>
    </row>
    <row r="89" spans="1:11">
      <c r="A89" s="2"/>
      <c r="B89" s="2"/>
      <c r="C89" s="3" t="str">
        <f>IF(B89="","",IFERROR(VLOOKUP(B89,Players!$A$4:$B$200,2,FALSE),""))</f>
        <v/>
      </c>
      <c r="D89" s="2"/>
      <c r="E89" s="2"/>
      <c r="F89" s="2"/>
      <c r="G89" s="3" t="str">
        <f t="shared" si="4"/>
        <v/>
      </c>
      <c r="H89" s="5" t="str">
        <f t="shared" si="5"/>
        <v/>
      </c>
      <c r="I89" s="2"/>
      <c r="J89" s="2"/>
      <c r="K89" s="2"/>
    </row>
    <row r="90" spans="1:11">
      <c r="A90" s="2"/>
      <c r="B90" s="2"/>
      <c r="C90" s="3" t="str">
        <f>IF(B90="","",IFERROR(VLOOKUP(B90,Players!$A$4:$B$200,2,FALSE),""))</f>
        <v/>
      </c>
      <c r="D90" s="2"/>
      <c r="E90" s="2"/>
      <c r="F90" s="2"/>
      <c r="G90" s="3" t="str">
        <f t="shared" si="4"/>
        <v/>
      </c>
      <c r="H90" s="5" t="str">
        <f t="shared" si="5"/>
        <v/>
      </c>
      <c r="I90" s="2"/>
      <c r="J90" s="2"/>
      <c r="K90" s="2"/>
    </row>
    <row r="91" spans="1:11">
      <c r="A91" s="2"/>
      <c r="B91" s="2"/>
      <c r="C91" s="3" t="str">
        <f>IF(B91="","",IFERROR(VLOOKUP(B91,Players!$A$4:$B$200,2,FALSE),""))</f>
        <v/>
      </c>
      <c r="D91" s="2"/>
      <c r="E91" s="2"/>
      <c r="F91" s="2"/>
      <c r="G91" s="3" t="str">
        <f t="shared" si="4"/>
        <v/>
      </c>
      <c r="H91" s="5" t="str">
        <f t="shared" si="5"/>
        <v/>
      </c>
      <c r="I91" s="2"/>
      <c r="J91" s="2"/>
      <c r="K91" s="2"/>
    </row>
    <row r="92" spans="1:11">
      <c r="A92" s="2"/>
      <c r="B92" s="2"/>
      <c r="C92" s="3" t="str">
        <f>IF(B92="","",IFERROR(VLOOKUP(B92,Players!$A$4:$B$200,2,FALSE),""))</f>
        <v/>
      </c>
      <c r="D92" s="2"/>
      <c r="E92" s="2"/>
      <c r="F92" s="2"/>
      <c r="G92" s="3" t="str">
        <f t="shared" si="4"/>
        <v/>
      </c>
      <c r="H92" s="5" t="str">
        <f t="shared" si="5"/>
        <v/>
      </c>
      <c r="I92" s="2"/>
      <c r="J92" s="2"/>
      <c r="K92" s="2"/>
    </row>
    <row r="93" spans="1:11">
      <c r="A93" s="2"/>
      <c r="B93" s="2"/>
      <c r="C93" s="3" t="str">
        <f>IF(B93="","",IFERROR(VLOOKUP(B93,Players!$A$4:$B$200,2,FALSE),""))</f>
        <v/>
      </c>
      <c r="D93" s="2"/>
      <c r="E93" s="2"/>
      <c r="F93" s="2"/>
      <c r="G93" s="3" t="str">
        <f t="shared" si="4"/>
        <v/>
      </c>
      <c r="H93" s="5" t="str">
        <f t="shared" si="5"/>
        <v/>
      </c>
      <c r="I93" s="2"/>
      <c r="J93" s="2"/>
      <c r="K93" s="2"/>
    </row>
    <row r="94" spans="1:11">
      <c r="A94" s="2"/>
      <c r="B94" s="2"/>
      <c r="C94" s="3" t="str">
        <f>IF(B94="","",IFERROR(VLOOKUP(B94,Players!$A$4:$B$200,2,FALSE),""))</f>
        <v/>
      </c>
      <c r="D94" s="2"/>
      <c r="E94" s="2"/>
      <c r="F94" s="2"/>
      <c r="G94" s="3" t="str">
        <f t="shared" si="4"/>
        <v/>
      </c>
      <c r="H94" s="5" t="str">
        <f t="shared" si="5"/>
        <v/>
      </c>
      <c r="I94" s="2"/>
      <c r="J94" s="2"/>
      <c r="K94" s="2"/>
    </row>
    <row r="95" spans="1:11">
      <c r="A95" s="2"/>
      <c r="B95" s="2"/>
      <c r="C95" s="3" t="str">
        <f>IF(B95="","",IFERROR(VLOOKUP(B95,Players!$A$4:$B$200,2,FALSE),""))</f>
        <v/>
      </c>
      <c r="D95" s="2"/>
      <c r="E95" s="2"/>
      <c r="F95" s="2"/>
      <c r="G95" s="3" t="str">
        <f t="shared" si="4"/>
        <v/>
      </c>
      <c r="H95" s="5" t="str">
        <f t="shared" si="5"/>
        <v/>
      </c>
      <c r="I95" s="2"/>
      <c r="J95" s="2"/>
      <c r="K95" s="2"/>
    </row>
    <row r="96" spans="1:11">
      <c r="A96" s="2"/>
      <c r="B96" s="2"/>
      <c r="C96" s="3" t="str">
        <f>IF(B96="","",IFERROR(VLOOKUP(B96,Players!$A$4:$B$200,2,FALSE),""))</f>
        <v/>
      </c>
      <c r="D96" s="2"/>
      <c r="E96" s="2"/>
      <c r="F96" s="2"/>
      <c r="G96" s="3" t="str">
        <f t="shared" si="4"/>
        <v/>
      </c>
      <c r="H96" s="5" t="str">
        <f t="shared" si="5"/>
        <v/>
      </c>
      <c r="I96" s="2"/>
      <c r="J96" s="2"/>
      <c r="K96" s="2"/>
    </row>
    <row r="97" spans="1:11">
      <c r="A97" s="2"/>
      <c r="B97" s="2"/>
      <c r="C97" s="3" t="str">
        <f>IF(B97="","",IFERROR(VLOOKUP(B97,Players!$A$4:$B$200,2,FALSE),""))</f>
        <v/>
      </c>
      <c r="D97" s="2"/>
      <c r="E97" s="2"/>
      <c r="F97" s="2"/>
      <c r="G97" s="3" t="str">
        <f t="shared" si="4"/>
        <v/>
      </c>
      <c r="H97" s="5" t="str">
        <f t="shared" si="5"/>
        <v/>
      </c>
      <c r="I97" s="2"/>
      <c r="J97" s="2"/>
      <c r="K97" s="2"/>
    </row>
    <row r="98" spans="1:11">
      <c r="A98" s="2"/>
      <c r="B98" s="2"/>
      <c r="C98" s="3" t="str">
        <f>IF(B98="","",IFERROR(VLOOKUP(B98,Players!$A$4:$B$200,2,FALSE),""))</f>
        <v/>
      </c>
      <c r="D98" s="2"/>
      <c r="E98" s="2"/>
      <c r="F98" s="2"/>
      <c r="G98" s="3" t="str">
        <f t="shared" si="4"/>
        <v/>
      </c>
      <c r="H98" s="5" t="str">
        <f t="shared" si="5"/>
        <v/>
      </c>
      <c r="I98" s="2"/>
      <c r="J98" s="2"/>
      <c r="K98" s="2"/>
    </row>
    <row r="99" spans="1:11">
      <c r="A99" s="2"/>
      <c r="B99" s="2"/>
      <c r="C99" s="3" t="str">
        <f>IF(B99="","",IFERROR(VLOOKUP(B99,Players!$A$4:$B$200,2,FALSE),""))</f>
        <v/>
      </c>
      <c r="D99" s="2"/>
      <c r="E99" s="2"/>
      <c r="F99" s="2"/>
      <c r="G99" s="3" t="str">
        <f t="shared" si="4"/>
        <v/>
      </c>
      <c r="H99" s="5" t="str">
        <f t="shared" si="5"/>
        <v/>
      </c>
      <c r="I99" s="2"/>
      <c r="J99" s="2"/>
      <c r="K99" s="2"/>
    </row>
    <row r="100" spans="1:11">
      <c r="A100" s="2"/>
      <c r="B100" s="2"/>
      <c r="C100" s="3" t="str">
        <f>IF(B100="","",IFERROR(VLOOKUP(B100,Players!$A$4:$B$200,2,FALSE),""))</f>
        <v/>
      </c>
      <c r="D100" s="2"/>
      <c r="E100" s="2"/>
      <c r="F100" s="2"/>
      <c r="G100" s="3" t="str">
        <f t="shared" ref="G100:G131" si="6">IF(E100="","",E100-F100)</f>
        <v/>
      </c>
      <c r="H100" s="5" t="str">
        <f t="shared" ref="H100:H131" si="7">IF(OR(E100="",E100=0),"",G100/E100)</f>
        <v/>
      </c>
      <c r="I100" s="2"/>
      <c r="J100" s="2"/>
      <c r="K100" s="2"/>
    </row>
    <row r="101" spans="1:11">
      <c r="A101" s="2"/>
      <c r="B101" s="2"/>
      <c r="C101" s="3" t="str">
        <f>IF(B101="","",IFERROR(VLOOKUP(B101,Players!$A$4:$B$200,2,FALSE),""))</f>
        <v/>
      </c>
      <c r="D101" s="2"/>
      <c r="E101" s="2"/>
      <c r="F101" s="2"/>
      <c r="G101" s="3" t="str">
        <f t="shared" si="6"/>
        <v/>
      </c>
      <c r="H101" s="5" t="str">
        <f t="shared" si="7"/>
        <v/>
      </c>
      <c r="I101" s="2"/>
      <c r="J101" s="2"/>
      <c r="K101" s="2"/>
    </row>
    <row r="102" spans="1:11">
      <c r="A102" s="2"/>
      <c r="B102" s="2"/>
      <c r="C102" s="3" t="str">
        <f>IF(B102="","",IFERROR(VLOOKUP(B102,Players!$A$4:$B$200,2,FALSE),""))</f>
        <v/>
      </c>
      <c r="D102" s="2"/>
      <c r="E102" s="2"/>
      <c r="F102" s="2"/>
      <c r="G102" s="3" t="str">
        <f t="shared" si="6"/>
        <v/>
      </c>
      <c r="H102" s="5" t="str">
        <f t="shared" si="7"/>
        <v/>
      </c>
      <c r="I102" s="2"/>
      <c r="J102" s="2"/>
      <c r="K102" s="2"/>
    </row>
    <row r="103" spans="1:11">
      <c r="A103" s="2"/>
      <c r="B103" s="2"/>
      <c r="C103" s="3" t="str">
        <f>IF(B103="","",IFERROR(VLOOKUP(B103,Players!$A$4:$B$200,2,FALSE),""))</f>
        <v/>
      </c>
      <c r="D103" s="2"/>
      <c r="E103" s="2"/>
      <c r="F103" s="2"/>
      <c r="G103" s="3" t="str">
        <f t="shared" si="6"/>
        <v/>
      </c>
      <c r="H103" s="5" t="str">
        <f t="shared" si="7"/>
        <v/>
      </c>
      <c r="I103" s="2"/>
      <c r="J103" s="2"/>
      <c r="K103" s="2"/>
    </row>
    <row r="104" spans="1:11">
      <c r="A104" s="2"/>
      <c r="B104" s="2"/>
      <c r="C104" s="3" t="str">
        <f>IF(B104="","",IFERROR(VLOOKUP(B104,Players!$A$4:$B$200,2,FALSE),""))</f>
        <v/>
      </c>
      <c r="D104" s="2"/>
      <c r="E104" s="2"/>
      <c r="F104" s="2"/>
      <c r="G104" s="3" t="str">
        <f t="shared" si="6"/>
        <v/>
      </c>
      <c r="H104" s="5" t="str">
        <f t="shared" si="7"/>
        <v/>
      </c>
      <c r="I104" s="2"/>
      <c r="J104" s="2"/>
      <c r="K104" s="2"/>
    </row>
    <row r="105" spans="1:11">
      <c r="A105" s="2"/>
      <c r="B105" s="2"/>
      <c r="C105" s="3" t="str">
        <f>IF(B105="","",IFERROR(VLOOKUP(B105,Players!$A$4:$B$200,2,FALSE),""))</f>
        <v/>
      </c>
      <c r="D105" s="2"/>
      <c r="E105" s="2"/>
      <c r="F105" s="2"/>
      <c r="G105" s="3" t="str">
        <f t="shared" si="6"/>
        <v/>
      </c>
      <c r="H105" s="5" t="str">
        <f t="shared" si="7"/>
        <v/>
      </c>
      <c r="I105" s="2"/>
      <c r="J105" s="2"/>
      <c r="K105" s="2"/>
    </row>
    <row r="106" spans="1:11">
      <c r="A106" s="2"/>
      <c r="B106" s="2"/>
      <c r="C106" s="3" t="str">
        <f>IF(B106="","",IFERROR(VLOOKUP(B106,Players!$A$4:$B$200,2,FALSE),""))</f>
        <v/>
      </c>
      <c r="D106" s="2"/>
      <c r="E106" s="2"/>
      <c r="F106" s="2"/>
      <c r="G106" s="3" t="str">
        <f t="shared" si="6"/>
        <v/>
      </c>
      <c r="H106" s="5" t="str">
        <f t="shared" si="7"/>
        <v/>
      </c>
      <c r="I106" s="2"/>
      <c r="J106" s="2"/>
      <c r="K106" s="2"/>
    </row>
    <row r="107" spans="1:11">
      <c r="A107" s="2"/>
      <c r="B107" s="2"/>
      <c r="C107" s="3" t="str">
        <f>IF(B107="","",IFERROR(VLOOKUP(B107,Players!$A$4:$B$200,2,FALSE),""))</f>
        <v/>
      </c>
      <c r="D107" s="2"/>
      <c r="E107" s="2"/>
      <c r="F107" s="2"/>
      <c r="G107" s="3" t="str">
        <f t="shared" si="6"/>
        <v/>
      </c>
      <c r="H107" s="5" t="str">
        <f t="shared" si="7"/>
        <v/>
      </c>
      <c r="I107" s="2"/>
      <c r="J107" s="2"/>
      <c r="K107" s="2"/>
    </row>
    <row r="108" spans="1:11">
      <c r="A108" s="2"/>
      <c r="B108" s="2"/>
      <c r="C108" s="3" t="str">
        <f>IF(B108="","",IFERROR(VLOOKUP(B108,Players!$A$4:$B$200,2,FALSE),""))</f>
        <v/>
      </c>
      <c r="D108" s="2"/>
      <c r="E108" s="2"/>
      <c r="F108" s="2"/>
      <c r="G108" s="3" t="str">
        <f t="shared" si="6"/>
        <v/>
      </c>
      <c r="H108" s="5" t="str">
        <f t="shared" si="7"/>
        <v/>
      </c>
      <c r="I108" s="2"/>
      <c r="J108" s="2"/>
      <c r="K108" s="2"/>
    </row>
    <row r="109" spans="1:11">
      <c r="A109" s="2"/>
      <c r="B109" s="2"/>
      <c r="C109" s="3" t="str">
        <f>IF(B109="","",IFERROR(VLOOKUP(B109,Players!$A$4:$B$200,2,FALSE),""))</f>
        <v/>
      </c>
      <c r="D109" s="2"/>
      <c r="E109" s="2"/>
      <c r="F109" s="2"/>
      <c r="G109" s="3" t="str">
        <f t="shared" si="6"/>
        <v/>
      </c>
      <c r="H109" s="5" t="str">
        <f t="shared" si="7"/>
        <v/>
      </c>
      <c r="I109" s="2"/>
      <c r="J109" s="2"/>
      <c r="K109" s="2"/>
    </row>
    <row r="110" spans="1:11">
      <c r="A110" s="2"/>
      <c r="B110" s="2"/>
      <c r="C110" s="3" t="str">
        <f>IF(B110="","",IFERROR(VLOOKUP(B110,Players!$A$4:$B$200,2,FALSE),""))</f>
        <v/>
      </c>
      <c r="D110" s="2"/>
      <c r="E110" s="2"/>
      <c r="F110" s="2"/>
      <c r="G110" s="3" t="str">
        <f t="shared" si="6"/>
        <v/>
      </c>
      <c r="H110" s="5" t="str">
        <f t="shared" si="7"/>
        <v/>
      </c>
      <c r="I110" s="2"/>
      <c r="J110" s="2"/>
      <c r="K110" s="2"/>
    </row>
    <row r="111" spans="1:11">
      <c r="A111" s="2"/>
      <c r="B111" s="2"/>
      <c r="C111" s="3" t="str">
        <f>IF(B111="","",IFERROR(VLOOKUP(B111,Players!$A$4:$B$200,2,FALSE),""))</f>
        <v/>
      </c>
      <c r="D111" s="2"/>
      <c r="E111" s="2"/>
      <c r="F111" s="2"/>
      <c r="G111" s="3" t="str">
        <f t="shared" si="6"/>
        <v/>
      </c>
      <c r="H111" s="5" t="str">
        <f t="shared" si="7"/>
        <v/>
      </c>
      <c r="I111" s="2"/>
      <c r="J111" s="2"/>
      <c r="K111" s="2"/>
    </row>
    <row r="112" spans="1:11">
      <c r="A112" s="2"/>
      <c r="B112" s="2"/>
      <c r="C112" s="3" t="str">
        <f>IF(B112="","",IFERROR(VLOOKUP(B112,Players!$A$4:$B$200,2,FALSE),""))</f>
        <v/>
      </c>
      <c r="D112" s="2"/>
      <c r="E112" s="2"/>
      <c r="F112" s="2"/>
      <c r="G112" s="3" t="str">
        <f t="shared" si="6"/>
        <v/>
      </c>
      <c r="H112" s="5" t="str">
        <f t="shared" si="7"/>
        <v/>
      </c>
      <c r="I112" s="2"/>
      <c r="J112" s="2"/>
      <c r="K112" s="2"/>
    </row>
    <row r="113" spans="1:11">
      <c r="A113" s="2"/>
      <c r="B113" s="2"/>
      <c r="C113" s="3" t="str">
        <f>IF(B113="","",IFERROR(VLOOKUP(B113,Players!$A$4:$B$200,2,FALSE),""))</f>
        <v/>
      </c>
      <c r="D113" s="2"/>
      <c r="E113" s="2"/>
      <c r="F113" s="2"/>
      <c r="G113" s="3" t="str">
        <f t="shared" si="6"/>
        <v/>
      </c>
      <c r="H113" s="5" t="str">
        <f t="shared" si="7"/>
        <v/>
      </c>
      <c r="I113" s="2"/>
      <c r="J113" s="2"/>
      <c r="K113" s="2"/>
    </row>
    <row r="114" spans="1:11">
      <c r="A114" s="2"/>
      <c r="B114" s="2"/>
      <c r="C114" s="3" t="str">
        <f>IF(B114="","",IFERROR(VLOOKUP(B114,Players!$A$4:$B$200,2,FALSE),""))</f>
        <v/>
      </c>
      <c r="D114" s="2"/>
      <c r="E114" s="2"/>
      <c r="F114" s="2"/>
      <c r="G114" s="3" t="str">
        <f t="shared" si="6"/>
        <v/>
      </c>
      <c r="H114" s="5" t="str">
        <f t="shared" si="7"/>
        <v/>
      </c>
      <c r="I114" s="2"/>
      <c r="J114" s="2"/>
      <c r="K114" s="2"/>
    </row>
    <row r="115" spans="1:11">
      <c r="A115" s="2"/>
      <c r="B115" s="2"/>
      <c r="C115" s="3" t="str">
        <f>IF(B115="","",IFERROR(VLOOKUP(B115,Players!$A$4:$B$200,2,FALSE),""))</f>
        <v/>
      </c>
      <c r="D115" s="2"/>
      <c r="E115" s="2"/>
      <c r="F115" s="2"/>
      <c r="G115" s="3" t="str">
        <f t="shared" si="6"/>
        <v/>
      </c>
      <c r="H115" s="5" t="str">
        <f t="shared" si="7"/>
        <v/>
      </c>
      <c r="I115" s="2"/>
      <c r="J115" s="2"/>
      <c r="K115" s="2"/>
    </row>
    <row r="116" spans="1:11">
      <c r="A116" s="2"/>
      <c r="B116" s="2"/>
      <c r="C116" s="3" t="str">
        <f>IF(B116="","",IFERROR(VLOOKUP(B116,Players!$A$4:$B$200,2,FALSE),""))</f>
        <v/>
      </c>
      <c r="D116" s="2"/>
      <c r="E116" s="2"/>
      <c r="F116" s="2"/>
      <c r="G116" s="3" t="str">
        <f t="shared" si="6"/>
        <v/>
      </c>
      <c r="H116" s="5" t="str">
        <f t="shared" si="7"/>
        <v/>
      </c>
      <c r="I116" s="2"/>
      <c r="J116" s="2"/>
      <c r="K116" s="2"/>
    </row>
    <row r="117" spans="1:11">
      <c r="A117" s="2"/>
      <c r="B117" s="2"/>
      <c r="C117" s="3" t="str">
        <f>IF(B117="","",IFERROR(VLOOKUP(B117,Players!$A$4:$B$200,2,FALSE),""))</f>
        <v/>
      </c>
      <c r="D117" s="2"/>
      <c r="E117" s="2"/>
      <c r="F117" s="2"/>
      <c r="G117" s="3" t="str">
        <f t="shared" si="6"/>
        <v/>
      </c>
      <c r="H117" s="5" t="str">
        <f t="shared" si="7"/>
        <v/>
      </c>
      <c r="I117" s="2"/>
      <c r="J117" s="2"/>
      <c r="K117" s="2"/>
    </row>
    <row r="118" spans="1:11">
      <c r="A118" s="2"/>
      <c r="B118" s="2"/>
      <c r="C118" s="3" t="str">
        <f>IF(B118="","",IFERROR(VLOOKUP(B118,Players!$A$4:$B$200,2,FALSE),""))</f>
        <v/>
      </c>
      <c r="D118" s="2"/>
      <c r="E118" s="2"/>
      <c r="F118" s="2"/>
      <c r="G118" s="3" t="str">
        <f t="shared" si="6"/>
        <v/>
      </c>
      <c r="H118" s="5" t="str">
        <f t="shared" si="7"/>
        <v/>
      </c>
      <c r="I118" s="2"/>
      <c r="J118" s="2"/>
      <c r="K118" s="2"/>
    </row>
    <row r="119" spans="1:11">
      <c r="A119" s="2"/>
      <c r="B119" s="2"/>
      <c r="C119" s="3" t="str">
        <f>IF(B119="","",IFERROR(VLOOKUP(B119,Players!$A$4:$B$200,2,FALSE),""))</f>
        <v/>
      </c>
      <c r="D119" s="2"/>
      <c r="E119" s="2"/>
      <c r="F119" s="2"/>
      <c r="G119" s="3" t="str">
        <f t="shared" si="6"/>
        <v/>
      </c>
      <c r="H119" s="5" t="str">
        <f t="shared" si="7"/>
        <v/>
      </c>
      <c r="I119" s="2"/>
      <c r="J119" s="2"/>
      <c r="K119" s="2"/>
    </row>
    <row r="120" spans="1:11">
      <c r="A120" s="2"/>
      <c r="B120" s="2"/>
      <c r="C120" s="3" t="str">
        <f>IF(B120="","",IFERROR(VLOOKUP(B120,Players!$A$4:$B$200,2,FALSE),""))</f>
        <v/>
      </c>
      <c r="D120" s="2"/>
      <c r="E120" s="2"/>
      <c r="F120" s="2"/>
      <c r="G120" s="3" t="str">
        <f t="shared" si="6"/>
        <v/>
      </c>
      <c r="H120" s="5" t="str">
        <f t="shared" si="7"/>
        <v/>
      </c>
      <c r="I120" s="2"/>
      <c r="J120" s="2"/>
      <c r="K120" s="2"/>
    </row>
    <row r="121" spans="1:11">
      <c r="A121" s="2"/>
      <c r="B121" s="2"/>
      <c r="C121" s="3" t="str">
        <f>IF(B121="","",IFERROR(VLOOKUP(B121,Players!$A$4:$B$200,2,FALSE),""))</f>
        <v/>
      </c>
      <c r="D121" s="2"/>
      <c r="E121" s="2"/>
      <c r="F121" s="2"/>
      <c r="G121" s="3" t="str">
        <f t="shared" si="6"/>
        <v/>
      </c>
      <c r="H121" s="5" t="str">
        <f t="shared" si="7"/>
        <v/>
      </c>
      <c r="I121" s="2"/>
      <c r="J121" s="2"/>
      <c r="K121" s="2"/>
    </row>
    <row r="122" spans="1:11">
      <c r="A122" s="2"/>
      <c r="B122" s="2"/>
      <c r="C122" s="3" t="str">
        <f>IF(B122="","",IFERROR(VLOOKUP(B122,Players!$A$4:$B$200,2,FALSE),""))</f>
        <v/>
      </c>
      <c r="D122" s="2"/>
      <c r="E122" s="2"/>
      <c r="F122" s="2"/>
      <c r="G122" s="3" t="str">
        <f t="shared" si="6"/>
        <v/>
      </c>
      <c r="H122" s="5" t="str">
        <f t="shared" si="7"/>
        <v/>
      </c>
      <c r="I122" s="2"/>
      <c r="J122" s="2"/>
      <c r="K122" s="2"/>
    </row>
    <row r="123" spans="1:11">
      <c r="A123" s="2"/>
      <c r="B123" s="2"/>
      <c r="C123" s="3" t="str">
        <f>IF(B123="","",IFERROR(VLOOKUP(B123,Players!$A$4:$B$200,2,FALSE),""))</f>
        <v/>
      </c>
      <c r="D123" s="2"/>
      <c r="E123" s="2"/>
      <c r="F123" s="2"/>
      <c r="G123" s="3" t="str">
        <f t="shared" si="6"/>
        <v/>
      </c>
      <c r="H123" s="5" t="str">
        <f t="shared" si="7"/>
        <v/>
      </c>
      <c r="I123" s="2"/>
      <c r="J123" s="2"/>
      <c r="K123" s="2"/>
    </row>
    <row r="124" spans="1:11">
      <c r="A124" s="2"/>
      <c r="B124" s="2"/>
      <c r="C124" s="3" t="str">
        <f>IF(B124="","",IFERROR(VLOOKUP(B124,Players!$A$4:$B$200,2,FALSE),""))</f>
        <v/>
      </c>
      <c r="D124" s="2"/>
      <c r="E124" s="2"/>
      <c r="F124" s="2"/>
      <c r="G124" s="3" t="str">
        <f t="shared" si="6"/>
        <v/>
      </c>
      <c r="H124" s="5" t="str">
        <f t="shared" si="7"/>
        <v/>
      </c>
      <c r="I124" s="2"/>
      <c r="J124" s="2"/>
      <c r="K124" s="2"/>
    </row>
    <row r="125" spans="1:11">
      <c r="A125" s="2"/>
      <c r="B125" s="2"/>
      <c r="C125" s="3" t="str">
        <f>IF(B125="","",IFERROR(VLOOKUP(B125,Players!$A$4:$B$200,2,FALSE),""))</f>
        <v/>
      </c>
      <c r="D125" s="2"/>
      <c r="E125" s="2"/>
      <c r="F125" s="2"/>
      <c r="G125" s="3" t="str">
        <f t="shared" si="6"/>
        <v/>
      </c>
      <c r="H125" s="5" t="str">
        <f t="shared" si="7"/>
        <v/>
      </c>
      <c r="I125" s="2"/>
      <c r="J125" s="2"/>
      <c r="K125" s="2"/>
    </row>
    <row r="126" spans="1:11">
      <c r="A126" s="2"/>
      <c r="B126" s="2"/>
      <c r="C126" s="3" t="str">
        <f>IF(B126="","",IFERROR(VLOOKUP(B126,Players!$A$4:$B$200,2,FALSE),""))</f>
        <v/>
      </c>
      <c r="D126" s="2"/>
      <c r="E126" s="2"/>
      <c r="F126" s="2"/>
      <c r="G126" s="3" t="str">
        <f t="shared" si="6"/>
        <v/>
      </c>
      <c r="H126" s="5" t="str">
        <f t="shared" si="7"/>
        <v/>
      </c>
      <c r="I126" s="2"/>
      <c r="J126" s="2"/>
      <c r="K126" s="2"/>
    </row>
    <row r="127" spans="1:11">
      <c r="A127" s="2"/>
      <c r="B127" s="2"/>
      <c r="C127" s="3" t="str">
        <f>IF(B127="","",IFERROR(VLOOKUP(B127,Players!$A$4:$B$200,2,FALSE),""))</f>
        <v/>
      </c>
      <c r="D127" s="2"/>
      <c r="E127" s="2"/>
      <c r="F127" s="2"/>
      <c r="G127" s="3" t="str">
        <f t="shared" si="6"/>
        <v/>
      </c>
      <c r="H127" s="5" t="str">
        <f t="shared" si="7"/>
        <v/>
      </c>
      <c r="I127" s="2"/>
      <c r="J127" s="2"/>
      <c r="K127" s="2"/>
    </row>
    <row r="128" spans="1:11">
      <c r="A128" s="2"/>
      <c r="B128" s="2"/>
      <c r="C128" s="3" t="str">
        <f>IF(B128="","",IFERROR(VLOOKUP(B128,Players!$A$4:$B$200,2,FALSE),""))</f>
        <v/>
      </c>
      <c r="D128" s="2"/>
      <c r="E128" s="2"/>
      <c r="F128" s="2"/>
      <c r="G128" s="3" t="str">
        <f t="shared" si="6"/>
        <v/>
      </c>
      <c r="H128" s="5" t="str">
        <f t="shared" si="7"/>
        <v/>
      </c>
      <c r="I128" s="2"/>
      <c r="J128" s="2"/>
      <c r="K128" s="2"/>
    </row>
    <row r="129" spans="1:11">
      <c r="A129" s="2"/>
      <c r="B129" s="2"/>
      <c r="C129" s="3" t="str">
        <f>IF(B129="","",IFERROR(VLOOKUP(B129,Players!$A$4:$B$200,2,FALSE),""))</f>
        <v/>
      </c>
      <c r="D129" s="2"/>
      <c r="E129" s="2"/>
      <c r="F129" s="2"/>
      <c r="G129" s="3" t="str">
        <f t="shared" si="6"/>
        <v/>
      </c>
      <c r="H129" s="5" t="str">
        <f t="shared" si="7"/>
        <v/>
      </c>
      <c r="I129" s="2"/>
      <c r="J129" s="2"/>
      <c r="K129" s="2"/>
    </row>
    <row r="130" spans="1:11">
      <c r="A130" s="2"/>
      <c r="B130" s="2"/>
      <c r="C130" s="3" t="str">
        <f>IF(B130="","",IFERROR(VLOOKUP(B130,Players!$A$4:$B$200,2,FALSE),""))</f>
        <v/>
      </c>
      <c r="D130" s="2"/>
      <c r="E130" s="2"/>
      <c r="F130" s="2"/>
      <c r="G130" s="3" t="str">
        <f t="shared" si="6"/>
        <v/>
      </c>
      <c r="H130" s="5" t="str">
        <f t="shared" si="7"/>
        <v/>
      </c>
      <c r="I130" s="2"/>
      <c r="J130" s="2"/>
      <c r="K130" s="2"/>
    </row>
    <row r="131" spans="1:11">
      <c r="A131" s="2"/>
      <c r="B131" s="2"/>
      <c r="C131" s="3" t="str">
        <f>IF(B131="","",IFERROR(VLOOKUP(B131,Players!$A$4:$B$200,2,FALSE),""))</f>
        <v/>
      </c>
      <c r="D131" s="2"/>
      <c r="E131" s="2"/>
      <c r="F131" s="2"/>
      <c r="G131" s="3" t="str">
        <f t="shared" si="6"/>
        <v/>
      </c>
      <c r="H131" s="5" t="str">
        <f t="shared" si="7"/>
        <v/>
      </c>
      <c r="I131" s="2"/>
      <c r="J131" s="2"/>
      <c r="K131" s="2"/>
    </row>
    <row r="132" spans="1:11">
      <c r="A132" s="2"/>
      <c r="B132" s="2"/>
      <c r="C132" s="3" t="str">
        <f>IF(B132="","",IFERROR(VLOOKUP(B132,Players!$A$4:$B$200,2,FALSE),""))</f>
        <v/>
      </c>
      <c r="D132" s="2"/>
      <c r="E132" s="2"/>
      <c r="F132" s="2"/>
      <c r="G132" s="3" t="str">
        <f t="shared" ref="G132:G163" si="8">IF(E132="","",E132-F132)</f>
        <v/>
      </c>
      <c r="H132" s="5" t="str">
        <f t="shared" ref="H132:H163" si="9">IF(OR(E132="",E132=0),"",G132/E132)</f>
        <v/>
      </c>
      <c r="I132" s="2"/>
      <c r="J132" s="2"/>
      <c r="K132" s="2"/>
    </row>
    <row r="133" spans="1:11">
      <c r="A133" s="2"/>
      <c r="B133" s="2"/>
      <c r="C133" s="3" t="str">
        <f>IF(B133="","",IFERROR(VLOOKUP(B133,Players!$A$4:$B$200,2,FALSE),""))</f>
        <v/>
      </c>
      <c r="D133" s="2"/>
      <c r="E133" s="2"/>
      <c r="F133" s="2"/>
      <c r="G133" s="3" t="str">
        <f t="shared" si="8"/>
        <v/>
      </c>
      <c r="H133" s="5" t="str">
        <f t="shared" si="9"/>
        <v/>
      </c>
      <c r="I133" s="2"/>
      <c r="J133" s="2"/>
      <c r="K133" s="2"/>
    </row>
    <row r="134" spans="1:11">
      <c r="A134" s="2"/>
      <c r="B134" s="2"/>
      <c r="C134" s="3" t="str">
        <f>IF(B134="","",IFERROR(VLOOKUP(B134,Players!$A$4:$B$200,2,FALSE),""))</f>
        <v/>
      </c>
      <c r="D134" s="2"/>
      <c r="E134" s="2"/>
      <c r="F134" s="2"/>
      <c r="G134" s="3" t="str">
        <f t="shared" si="8"/>
        <v/>
      </c>
      <c r="H134" s="5" t="str">
        <f t="shared" si="9"/>
        <v/>
      </c>
      <c r="I134" s="2"/>
      <c r="J134" s="2"/>
      <c r="K134" s="2"/>
    </row>
    <row r="135" spans="1:11">
      <c r="A135" s="2"/>
      <c r="B135" s="2"/>
      <c r="C135" s="3" t="str">
        <f>IF(B135="","",IFERROR(VLOOKUP(B135,Players!$A$4:$B$200,2,FALSE),""))</f>
        <v/>
      </c>
      <c r="D135" s="2"/>
      <c r="E135" s="2"/>
      <c r="F135" s="2"/>
      <c r="G135" s="3" t="str">
        <f t="shared" si="8"/>
        <v/>
      </c>
      <c r="H135" s="5" t="str">
        <f t="shared" si="9"/>
        <v/>
      </c>
      <c r="I135" s="2"/>
      <c r="J135" s="2"/>
      <c r="K135" s="2"/>
    </row>
    <row r="136" spans="1:11">
      <c r="A136" s="2"/>
      <c r="B136" s="2"/>
      <c r="C136" s="3" t="str">
        <f>IF(B136="","",IFERROR(VLOOKUP(B136,Players!$A$4:$B$200,2,FALSE),""))</f>
        <v/>
      </c>
      <c r="D136" s="2"/>
      <c r="E136" s="2"/>
      <c r="F136" s="2"/>
      <c r="G136" s="3" t="str">
        <f t="shared" si="8"/>
        <v/>
      </c>
      <c r="H136" s="5" t="str">
        <f t="shared" si="9"/>
        <v/>
      </c>
      <c r="I136" s="2"/>
      <c r="J136" s="2"/>
      <c r="K136" s="2"/>
    </row>
    <row r="137" spans="1:11">
      <c r="A137" s="2"/>
      <c r="B137" s="2"/>
      <c r="C137" s="3" t="str">
        <f>IF(B137="","",IFERROR(VLOOKUP(B137,Players!$A$4:$B$200,2,FALSE),""))</f>
        <v/>
      </c>
      <c r="D137" s="2"/>
      <c r="E137" s="2"/>
      <c r="F137" s="2"/>
      <c r="G137" s="3" t="str">
        <f t="shared" si="8"/>
        <v/>
      </c>
      <c r="H137" s="5" t="str">
        <f t="shared" si="9"/>
        <v/>
      </c>
      <c r="I137" s="2"/>
      <c r="J137" s="2"/>
      <c r="K137" s="2"/>
    </row>
    <row r="138" spans="1:11">
      <c r="A138" s="2"/>
      <c r="B138" s="2"/>
      <c r="C138" s="3" t="str">
        <f>IF(B138="","",IFERROR(VLOOKUP(B138,Players!$A$4:$B$200,2,FALSE),""))</f>
        <v/>
      </c>
      <c r="D138" s="2"/>
      <c r="E138" s="2"/>
      <c r="F138" s="2"/>
      <c r="G138" s="3" t="str">
        <f t="shared" si="8"/>
        <v/>
      </c>
      <c r="H138" s="5" t="str">
        <f t="shared" si="9"/>
        <v/>
      </c>
      <c r="I138" s="2"/>
      <c r="J138" s="2"/>
      <c r="K138" s="2"/>
    </row>
    <row r="139" spans="1:11">
      <c r="A139" s="2"/>
      <c r="B139" s="2"/>
      <c r="C139" s="3" t="str">
        <f>IF(B139="","",IFERROR(VLOOKUP(B139,Players!$A$4:$B$200,2,FALSE),""))</f>
        <v/>
      </c>
      <c r="D139" s="2"/>
      <c r="E139" s="2"/>
      <c r="F139" s="2"/>
      <c r="G139" s="3" t="str">
        <f t="shared" si="8"/>
        <v/>
      </c>
      <c r="H139" s="5" t="str">
        <f t="shared" si="9"/>
        <v/>
      </c>
      <c r="I139" s="2"/>
      <c r="J139" s="2"/>
      <c r="K139" s="2"/>
    </row>
    <row r="140" spans="1:11">
      <c r="A140" s="2"/>
      <c r="B140" s="2"/>
      <c r="C140" s="3" t="str">
        <f>IF(B140="","",IFERROR(VLOOKUP(B140,Players!$A$4:$B$200,2,FALSE),""))</f>
        <v/>
      </c>
      <c r="D140" s="2"/>
      <c r="E140" s="2"/>
      <c r="F140" s="2"/>
      <c r="G140" s="3" t="str">
        <f t="shared" si="8"/>
        <v/>
      </c>
      <c r="H140" s="5" t="str">
        <f t="shared" si="9"/>
        <v/>
      </c>
      <c r="I140" s="2"/>
      <c r="J140" s="2"/>
      <c r="K140" s="2"/>
    </row>
    <row r="141" spans="1:11">
      <c r="A141" s="2"/>
      <c r="B141" s="2"/>
      <c r="C141" s="3" t="str">
        <f>IF(B141="","",IFERROR(VLOOKUP(B141,Players!$A$4:$B$200,2,FALSE),""))</f>
        <v/>
      </c>
      <c r="D141" s="2"/>
      <c r="E141" s="2"/>
      <c r="F141" s="2"/>
      <c r="G141" s="3" t="str">
        <f t="shared" si="8"/>
        <v/>
      </c>
      <c r="H141" s="5" t="str">
        <f t="shared" si="9"/>
        <v/>
      </c>
      <c r="I141" s="2"/>
      <c r="J141" s="2"/>
      <c r="K141" s="2"/>
    </row>
    <row r="142" spans="1:11">
      <c r="A142" s="2"/>
      <c r="B142" s="2"/>
      <c r="C142" s="3" t="str">
        <f>IF(B142="","",IFERROR(VLOOKUP(B142,Players!$A$4:$B$200,2,FALSE),""))</f>
        <v/>
      </c>
      <c r="D142" s="2"/>
      <c r="E142" s="2"/>
      <c r="F142" s="2"/>
      <c r="G142" s="3" t="str">
        <f t="shared" si="8"/>
        <v/>
      </c>
      <c r="H142" s="5" t="str">
        <f t="shared" si="9"/>
        <v/>
      </c>
      <c r="I142" s="2"/>
      <c r="J142" s="2"/>
      <c r="K142" s="2"/>
    </row>
    <row r="143" spans="1:11">
      <c r="A143" s="2"/>
      <c r="B143" s="2"/>
      <c r="C143" s="3" t="str">
        <f>IF(B143="","",IFERROR(VLOOKUP(B143,Players!$A$4:$B$200,2,FALSE),""))</f>
        <v/>
      </c>
      <c r="D143" s="2"/>
      <c r="E143" s="2"/>
      <c r="F143" s="2"/>
      <c r="G143" s="3" t="str">
        <f t="shared" si="8"/>
        <v/>
      </c>
      <c r="H143" s="5" t="str">
        <f t="shared" si="9"/>
        <v/>
      </c>
      <c r="I143" s="2"/>
      <c r="J143" s="2"/>
      <c r="K143" s="2"/>
    </row>
    <row r="144" spans="1:11">
      <c r="A144" s="2"/>
      <c r="B144" s="2"/>
      <c r="C144" s="3" t="str">
        <f>IF(B144="","",IFERROR(VLOOKUP(B144,Players!$A$4:$B$200,2,FALSE),""))</f>
        <v/>
      </c>
      <c r="D144" s="2"/>
      <c r="E144" s="2"/>
      <c r="F144" s="2"/>
      <c r="G144" s="3" t="str">
        <f t="shared" si="8"/>
        <v/>
      </c>
      <c r="H144" s="5" t="str">
        <f t="shared" si="9"/>
        <v/>
      </c>
      <c r="I144" s="2"/>
      <c r="J144" s="2"/>
      <c r="K144" s="2"/>
    </row>
    <row r="145" spans="1:11">
      <c r="A145" s="2"/>
      <c r="B145" s="2"/>
      <c r="C145" s="3" t="str">
        <f>IF(B145="","",IFERROR(VLOOKUP(B145,Players!$A$4:$B$200,2,FALSE),""))</f>
        <v/>
      </c>
      <c r="D145" s="2"/>
      <c r="E145" s="2"/>
      <c r="F145" s="2"/>
      <c r="G145" s="3" t="str">
        <f t="shared" si="8"/>
        <v/>
      </c>
      <c r="H145" s="5" t="str">
        <f t="shared" si="9"/>
        <v/>
      </c>
      <c r="I145" s="2"/>
      <c r="J145" s="2"/>
      <c r="K145" s="2"/>
    </row>
    <row r="146" spans="1:11">
      <c r="A146" s="2"/>
      <c r="B146" s="2"/>
      <c r="C146" s="3" t="str">
        <f>IF(B146="","",IFERROR(VLOOKUP(B146,Players!$A$4:$B$200,2,FALSE),""))</f>
        <v/>
      </c>
      <c r="D146" s="2"/>
      <c r="E146" s="2"/>
      <c r="F146" s="2"/>
      <c r="G146" s="3" t="str">
        <f t="shared" si="8"/>
        <v/>
      </c>
      <c r="H146" s="5" t="str">
        <f t="shared" si="9"/>
        <v/>
      </c>
      <c r="I146" s="2"/>
      <c r="J146" s="2"/>
      <c r="K146" s="2"/>
    </row>
    <row r="147" spans="1:11">
      <c r="A147" s="2"/>
      <c r="B147" s="2"/>
      <c r="C147" s="3" t="str">
        <f>IF(B147="","",IFERROR(VLOOKUP(B147,Players!$A$4:$B$200,2,FALSE),""))</f>
        <v/>
      </c>
      <c r="D147" s="2"/>
      <c r="E147" s="2"/>
      <c r="F147" s="2"/>
      <c r="G147" s="3" t="str">
        <f t="shared" si="8"/>
        <v/>
      </c>
      <c r="H147" s="5" t="str">
        <f t="shared" si="9"/>
        <v/>
      </c>
      <c r="I147" s="2"/>
      <c r="J147" s="2"/>
      <c r="K147" s="2"/>
    </row>
    <row r="148" spans="1:11">
      <c r="A148" s="2"/>
      <c r="B148" s="2"/>
      <c r="C148" s="3" t="str">
        <f>IF(B148="","",IFERROR(VLOOKUP(B148,Players!$A$4:$B$200,2,FALSE),""))</f>
        <v/>
      </c>
      <c r="D148" s="2"/>
      <c r="E148" s="2"/>
      <c r="F148" s="2"/>
      <c r="G148" s="3" t="str">
        <f t="shared" si="8"/>
        <v/>
      </c>
      <c r="H148" s="5" t="str">
        <f t="shared" si="9"/>
        <v/>
      </c>
      <c r="I148" s="2"/>
      <c r="J148" s="2"/>
      <c r="K148" s="2"/>
    </row>
    <row r="149" spans="1:11">
      <c r="A149" s="2"/>
      <c r="B149" s="2"/>
      <c r="C149" s="3" t="str">
        <f>IF(B149="","",IFERROR(VLOOKUP(B149,Players!$A$4:$B$200,2,FALSE),""))</f>
        <v/>
      </c>
      <c r="D149" s="2"/>
      <c r="E149" s="2"/>
      <c r="F149" s="2"/>
      <c r="G149" s="3" t="str">
        <f t="shared" si="8"/>
        <v/>
      </c>
      <c r="H149" s="5" t="str">
        <f t="shared" si="9"/>
        <v/>
      </c>
      <c r="I149" s="2"/>
      <c r="J149" s="2"/>
      <c r="K149" s="2"/>
    </row>
    <row r="150" spans="1:11">
      <c r="A150" s="2"/>
      <c r="B150" s="2"/>
      <c r="C150" s="3" t="str">
        <f>IF(B150="","",IFERROR(VLOOKUP(B150,Players!$A$4:$B$200,2,FALSE),""))</f>
        <v/>
      </c>
      <c r="D150" s="2"/>
      <c r="E150" s="2"/>
      <c r="F150" s="2"/>
      <c r="G150" s="3" t="str">
        <f t="shared" si="8"/>
        <v/>
      </c>
      <c r="H150" s="5" t="str">
        <f t="shared" si="9"/>
        <v/>
      </c>
      <c r="I150" s="2"/>
      <c r="J150" s="2"/>
      <c r="K150" s="2"/>
    </row>
    <row r="151" spans="1:11">
      <c r="A151" s="2"/>
      <c r="B151" s="2"/>
      <c r="C151" s="3" t="str">
        <f>IF(B151="","",IFERROR(VLOOKUP(B151,Players!$A$4:$B$200,2,FALSE),""))</f>
        <v/>
      </c>
      <c r="D151" s="2"/>
      <c r="E151" s="2"/>
      <c r="F151" s="2"/>
      <c r="G151" s="3" t="str">
        <f t="shared" si="8"/>
        <v/>
      </c>
      <c r="H151" s="5" t="str">
        <f t="shared" si="9"/>
        <v/>
      </c>
      <c r="I151" s="2"/>
      <c r="J151" s="2"/>
      <c r="K151" s="2"/>
    </row>
    <row r="152" spans="1:11">
      <c r="A152" s="2"/>
      <c r="B152" s="2"/>
      <c r="C152" s="3" t="str">
        <f>IF(B152="","",IFERROR(VLOOKUP(B152,Players!$A$4:$B$200,2,FALSE),""))</f>
        <v/>
      </c>
      <c r="D152" s="2"/>
      <c r="E152" s="2"/>
      <c r="F152" s="2"/>
      <c r="G152" s="3" t="str">
        <f t="shared" si="8"/>
        <v/>
      </c>
      <c r="H152" s="5" t="str">
        <f t="shared" si="9"/>
        <v/>
      </c>
      <c r="I152" s="2"/>
      <c r="J152" s="2"/>
      <c r="K152" s="2"/>
    </row>
    <row r="153" spans="1:11">
      <c r="A153" s="2"/>
      <c r="B153" s="2"/>
      <c r="C153" s="3" t="str">
        <f>IF(B153="","",IFERROR(VLOOKUP(B153,Players!$A$4:$B$200,2,FALSE),""))</f>
        <v/>
      </c>
      <c r="D153" s="2"/>
      <c r="E153" s="2"/>
      <c r="F153" s="2"/>
      <c r="G153" s="3" t="str">
        <f t="shared" si="8"/>
        <v/>
      </c>
      <c r="H153" s="5" t="str">
        <f t="shared" si="9"/>
        <v/>
      </c>
      <c r="I153" s="2"/>
      <c r="J153" s="2"/>
      <c r="K153" s="2"/>
    </row>
    <row r="154" spans="1:11">
      <c r="A154" s="2"/>
      <c r="B154" s="2"/>
      <c r="C154" s="3" t="str">
        <f>IF(B154="","",IFERROR(VLOOKUP(B154,Players!$A$4:$B$200,2,FALSE),""))</f>
        <v/>
      </c>
      <c r="D154" s="2"/>
      <c r="E154" s="2"/>
      <c r="F154" s="2"/>
      <c r="G154" s="3" t="str">
        <f t="shared" si="8"/>
        <v/>
      </c>
      <c r="H154" s="5" t="str">
        <f t="shared" si="9"/>
        <v/>
      </c>
      <c r="I154" s="2"/>
      <c r="J154" s="2"/>
      <c r="K154" s="2"/>
    </row>
    <row r="155" spans="1:11">
      <c r="A155" s="2"/>
      <c r="B155" s="2"/>
      <c r="C155" s="3" t="str">
        <f>IF(B155="","",IFERROR(VLOOKUP(B155,Players!$A$4:$B$200,2,FALSE),""))</f>
        <v/>
      </c>
      <c r="D155" s="2"/>
      <c r="E155" s="2"/>
      <c r="F155" s="2"/>
      <c r="G155" s="3" t="str">
        <f t="shared" si="8"/>
        <v/>
      </c>
      <c r="H155" s="5" t="str">
        <f t="shared" si="9"/>
        <v/>
      </c>
      <c r="I155" s="2"/>
      <c r="J155" s="2"/>
      <c r="K155" s="2"/>
    </row>
    <row r="156" spans="1:11">
      <c r="A156" s="2"/>
      <c r="B156" s="2"/>
      <c r="C156" s="3" t="str">
        <f>IF(B156="","",IFERROR(VLOOKUP(B156,Players!$A$4:$B$200,2,FALSE),""))</f>
        <v/>
      </c>
      <c r="D156" s="2"/>
      <c r="E156" s="2"/>
      <c r="F156" s="2"/>
      <c r="G156" s="3" t="str">
        <f t="shared" si="8"/>
        <v/>
      </c>
      <c r="H156" s="5" t="str">
        <f t="shared" si="9"/>
        <v/>
      </c>
      <c r="I156" s="2"/>
      <c r="J156" s="2"/>
      <c r="K156" s="2"/>
    </row>
    <row r="157" spans="1:11">
      <c r="A157" s="2"/>
      <c r="B157" s="2"/>
      <c r="C157" s="3" t="str">
        <f>IF(B157="","",IFERROR(VLOOKUP(B157,Players!$A$4:$B$200,2,FALSE),""))</f>
        <v/>
      </c>
      <c r="D157" s="2"/>
      <c r="E157" s="2"/>
      <c r="F157" s="2"/>
      <c r="G157" s="3" t="str">
        <f t="shared" si="8"/>
        <v/>
      </c>
      <c r="H157" s="5" t="str">
        <f t="shared" si="9"/>
        <v/>
      </c>
      <c r="I157" s="2"/>
      <c r="J157" s="2"/>
      <c r="K157" s="2"/>
    </row>
    <row r="158" spans="1:11">
      <c r="A158" s="2"/>
      <c r="B158" s="2"/>
      <c r="C158" s="3" t="str">
        <f>IF(B158="","",IFERROR(VLOOKUP(B158,Players!$A$4:$B$200,2,FALSE),""))</f>
        <v/>
      </c>
      <c r="D158" s="2"/>
      <c r="E158" s="2"/>
      <c r="F158" s="2"/>
      <c r="G158" s="3" t="str">
        <f t="shared" si="8"/>
        <v/>
      </c>
      <c r="H158" s="5" t="str">
        <f t="shared" si="9"/>
        <v/>
      </c>
      <c r="I158" s="2"/>
      <c r="J158" s="2"/>
      <c r="K158" s="2"/>
    </row>
    <row r="159" spans="1:11">
      <c r="A159" s="2"/>
      <c r="B159" s="2"/>
      <c r="C159" s="3" t="str">
        <f>IF(B159="","",IFERROR(VLOOKUP(B159,Players!$A$4:$B$200,2,FALSE),""))</f>
        <v/>
      </c>
      <c r="D159" s="2"/>
      <c r="E159" s="2"/>
      <c r="F159" s="2"/>
      <c r="G159" s="3" t="str">
        <f t="shared" si="8"/>
        <v/>
      </c>
      <c r="H159" s="5" t="str">
        <f t="shared" si="9"/>
        <v/>
      </c>
      <c r="I159" s="2"/>
      <c r="J159" s="2"/>
      <c r="K159" s="2"/>
    </row>
    <row r="160" spans="1:11">
      <c r="A160" s="2"/>
      <c r="B160" s="2"/>
      <c r="C160" s="3" t="str">
        <f>IF(B160="","",IFERROR(VLOOKUP(B160,Players!$A$4:$B$200,2,FALSE),""))</f>
        <v/>
      </c>
      <c r="D160" s="2"/>
      <c r="E160" s="2"/>
      <c r="F160" s="2"/>
      <c r="G160" s="3" t="str">
        <f t="shared" si="8"/>
        <v/>
      </c>
      <c r="H160" s="5" t="str">
        <f t="shared" si="9"/>
        <v/>
      </c>
      <c r="I160" s="2"/>
      <c r="J160" s="2"/>
      <c r="K160" s="2"/>
    </row>
    <row r="161" spans="1:11">
      <c r="A161" s="2"/>
      <c r="B161" s="2"/>
      <c r="C161" s="3" t="str">
        <f>IF(B161="","",IFERROR(VLOOKUP(B161,Players!$A$4:$B$200,2,FALSE),""))</f>
        <v/>
      </c>
      <c r="D161" s="2"/>
      <c r="E161" s="2"/>
      <c r="F161" s="2"/>
      <c r="G161" s="3" t="str">
        <f t="shared" si="8"/>
        <v/>
      </c>
      <c r="H161" s="5" t="str">
        <f t="shared" si="9"/>
        <v/>
      </c>
      <c r="I161" s="2"/>
      <c r="J161" s="2"/>
      <c r="K161" s="2"/>
    </row>
    <row r="162" spans="1:11">
      <c r="A162" s="2"/>
      <c r="B162" s="2"/>
      <c r="C162" s="3" t="str">
        <f>IF(B162="","",IFERROR(VLOOKUP(B162,Players!$A$4:$B$200,2,FALSE),""))</f>
        <v/>
      </c>
      <c r="D162" s="2"/>
      <c r="E162" s="2"/>
      <c r="F162" s="2"/>
      <c r="G162" s="3" t="str">
        <f t="shared" si="8"/>
        <v/>
      </c>
      <c r="H162" s="5" t="str">
        <f t="shared" si="9"/>
        <v/>
      </c>
      <c r="I162" s="2"/>
      <c r="J162" s="2"/>
      <c r="K162" s="2"/>
    </row>
    <row r="163" spans="1:11">
      <c r="A163" s="2"/>
      <c r="B163" s="2"/>
      <c r="C163" s="3" t="str">
        <f>IF(B163="","",IFERROR(VLOOKUP(B163,Players!$A$4:$B$200,2,FALSE),""))</f>
        <v/>
      </c>
      <c r="D163" s="2"/>
      <c r="E163" s="2"/>
      <c r="F163" s="2"/>
      <c r="G163" s="3" t="str">
        <f t="shared" si="8"/>
        <v/>
      </c>
      <c r="H163" s="5" t="str">
        <f t="shared" si="9"/>
        <v/>
      </c>
      <c r="I163" s="2"/>
      <c r="J163" s="2"/>
      <c r="K163" s="2"/>
    </row>
    <row r="164" spans="1:11">
      <c r="A164" s="2"/>
      <c r="B164" s="2"/>
      <c r="C164" s="3" t="str">
        <f>IF(B164="","",IFERROR(VLOOKUP(B164,Players!$A$4:$B$200,2,FALSE),""))</f>
        <v/>
      </c>
      <c r="D164" s="2"/>
      <c r="E164" s="2"/>
      <c r="F164" s="2"/>
      <c r="G164" s="3" t="str">
        <f t="shared" ref="G164:G195" si="10">IF(E164="","",E164-F164)</f>
        <v/>
      </c>
      <c r="H164" s="5" t="str">
        <f t="shared" ref="H164:H195" si="11">IF(OR(E164="",E164=0),"",G164/E164)</f>
        <v/>
      </c>
      <c r="I164" s="2"/>
      <c r="J164" s="2"/>
      <c r="K164" s="2"/>
    </row>
    <row r="165" spans="1:11">
      <c r="A165" s="2"/>
      <c r="B165" s="2"/>
      <c r="C165" s="3" t="str">
        <f>IF(B165="","",IFERROR(VLOOKUP(B165,Players!$A$4:$B$200,2,FALSE),""))</f>
        <v/>
      </c>
      <c r="D165" s="2"/>
      <c r="E165" s="2"/>
      <c r="F165" s="2"/>
      <c r="G165" s="3" t="str">
        <f t="shared" si="10"/>
        <v/>
      </c>
      <c r="H165" s="5" t="str">
        <f t="shared" si="11"/>
        <v/>
      </c>
      <c r="I165" s="2"/>
      <c r="J165" s="2"/>
      <c r="K165" s="2"/>
    </row>
    <row r="166" spans="1:11">
      <c r="A166" s="2"/>
      <c r="B166" s="2"/>
      <c r="C166" s="3" t="str">
        <f>IF(B166="","",IFERROR(VLOOKUP(B166,Players!$A$4:$B$200,2,FALSE),""))</f>
        <v/>
      </c>
      <c r="D166" s="2"/>
      <c r="E166" s="2"/>
      <c r="F166" s="2"/>
      <c r="G166" s="3" t="str">
        <f t="shared" si="10"/>
        <v/>
      </c>
      <c r="H166" s="5" t="str">
        <f t="shared" si="11"/>
        <v/>
      </c>
      <c r="I166" s="2"/>
      <c r="J166" s="2"/>
      <c r="K166" s="2"/>
    </row>
    <row r="167" spans="1:11">
      <c r="A167" s="2"/>
      <c r="B167" s="2"/>
      <c r="C167" s="3" t="str">
        <f>IF(B167="","",IFERROR(VLOOKUP(B167,Players!$A$4:$B$200,2,FALSE),""))</f>
        <v/>
      </c>
      <c r="D167" s="2"/>
      <c r="E167" s="2"/>
      <c r="F167" s="2"/>
      <c r="G167" s="3" t="str">
        <f t="shared" si="10"/>
        <v/>
      </c>
      <c r="H167" s="5" t="str">
        <f t="shared" si="11"/>
        <v/>
      </c>
      <c r="I167" s="2"/>
      <c r="J167" s="2"/>
      <c r="K167" s="2"/>
    </row>
    <row r="168" spans="1:11">
      <c r="A168" s="2"/>
      <c r="B168" s="2"/>
      <c r="C168" s="3" t="str">
        <f>IF(B168="","",IFERROR(VLOOKUP(B168,Players!$A$4:$B$200,2,FALSE),""))</f>
        <v/>
      </c>
      <c r="D168" s="2"/>
      <c r="E168" s="2"/>
      <c r="F168" s="2"/>
      <c r="G168" s="3" t="str">
        <f t="shared" si="10"/>
        <v/>
      </c>
      <c r="H168" s="5" t="str">
        <f t="shared" si="11"/>
        <v/>
      </c>
      <c r="I168" s="2"/>
      <c r="J168" s="2"/>
      <c r="K168" s="2"/>
    </row>
    <row r="169" spans="1:11">
      <c r="A169" s="2"/>
      <c r="B169" s="2"/>
      <c r="C169" s="3" t="str">
        <f>IF(B169="","",IFERROR(VLOOKUP(B169,Players!$A$4:$B$200,2,FALSE),""))</f>
        <v/>
      </c>
      <c r="D169" s="2"/>
      <c r="E169" s="2"/>
      <c r="F169" s="2"/>
      <c r="G169" s="3" t="str">
        <f t="shared" si="10"/>
        <v/>
      </c>
      <c r="H169" s="5" t="str">
        <f t="shared" si="11"/>
        <v/>
      </c>
      <c r="I169" s="2"/>
      <c r="J169" s="2"/>
      <c r="K169" s="2"/>
    </row>
    <row r="170" spans="1:11">
      <c r="A170" s="2"/>
      <c r="B170" s="2"/>
      <c r="C170" s="3" t="str">
        <f>IF(B170="","",IFERROR(VLOOKUP(B170,Players!$A$4:$B$200,2,FALSE),""))</f>
        <v/>
      </c>
      <c r="D170" s="2"/>
      <c r="E170" s="2"/>
      <c r="F170" s="2"/>
      <c r="G170" s="3" t="str">
        <f t="shared" si="10"/>
        <v/>
      </c>
      <c r="H170" s="5" t="str">
        <f t="shared" si="11"/>
        <v/>
      </c>
      <c r="I170" s="2"/>
      <c r="J170" s="2"/>
      <c r="K170" s="2"/>
    </row>
    <row r="171" spans="1:11">
      <c r="A171" s="2"/>
      <c r="B171" s="2"/>
      <c r="C171" s="3" t="str">
        <f>IF(B171="","",IFERROR(VLOOKUP(B171,Players!$A$4:$B$200,2,FALSE),""))</f>
        <v/>
      </c>
      <c r="D171" s="2"/>
      <c r="E171" s="2"/>
      <c r="F171" s="2"/>
      <c r="G171" s="3" t="str">
        <f t="shared" si="10"/>
        <v/>
      </c>
      <c r="H171" s="5" t="str">
        <f t="shared" si="11"/>
        <v/>
      </c>
      <c r="I171" s="2"/>
      <c r="J171" s="2"/>
      <c r="K171" s="2"/>
    </row>
    <row r="172" spans="1:11">
      <c r="A172" s="2"/>
      <c r="B172" s="2"/>
      <c r="C172" s="3" t="str">
        <f>IF(B172="","",IFERROR(VLOOKUP(B172,Players!$A$4:$B$200,2,FALSE),""))</f>
        <v/>
      </c>
      <c r="D172" s="2"/>
      <c r="E172" s="2"/>
      <c r="F172" s="2"/>
      <c r="G172" s="3" t="str">
        <f t="shared" si="10"/>
        <v/>
      </c>
      <c r="H172" s="5" t="str">
        <f t="shared" si="11"/>
        <v/>
      </c>
      <c r="I172" s="2"/>
      <c r="J172" s="2"/>
      <c r="K172" s="2"/>
    </row>
    <row r="173" spans="1:11">
      <c r="A173" s="2"/>
      <c r="B173" s="2"/>
      <c r="C173" s="3" t="str">
        <f>IF(B173="","",IFERROR(VLOOKUP(B173,Players!$A$4:$B$200,2,FALSE),""))</f>
        <v/>
      </c>
      <c r="D173" s="2"/>
      <c r="E173" s="2"/>
      <c r="F173" s="2"/>
      <c r="G173" s="3" t="str">
        <f t="shared" si="10"/>
        <v/>
      </c>
      <c r="H173" s="5" t="str">
        <f t="shared" si="11"/>
        <v/>
      </c>
      <c r="I173" s="2"/>
      <c r="J173" s="2"/>
      <c r="K173" s="2"/>
    </row>
    <row r="174" spans="1:11">
      <c r="A174" s="2"/>
      <c r="B174" s="2"/>
      <c r="C174" s="3" t="str">
        <f>IF(B174="","",IFERROR(VLOOKUP(B174,Players!$A$4:$B$200,2,FALSE),""))</f>
        <v/>
      </c>
      <c r="D174" s="2"/>
      <c r="E174" s="2"/>
      <c r="F174" s="2"/>
      <c r="G174" s="3" t="str">
        <f t="shared" si="10"/>
        <v/>
      </c>
      <c r="H174" s="5" t="str">
        <f t="shared" si="11"/>
        <v/>
      </c>
      <c r="I174" s="2"/>
      <c r="J174" s="2"/>
      <c r="K174" s="2"/>
    </row>
    <row r="175" spans="1:11">
      <c r="A175" s="2"/>
      <c r="B175" s="2"/>
      <c r="C175" s="3" t="str">
        <f>IF(B175="","",IFERROR(VLOOKUP(B175,Players!$A$4:$B$200,2,FALSE),""))</f>
        <v/>
      </c>
      <c r="D175" s="2"/>
      <c r="E175" s="2"/>
      <c r="F175" s="2"/>
      <c r="G175" s="3" t="str">
        <f t="shared" si="10"/>
        <v/>
      </c>
      <c r="H175" s="5" t="str">
        <f t="shared" si="11"/>
        <v/>
      </c>
      <c r="I175" s="2"/>
      <c r="J175" s="2"/>
      <c r="K175" s="2"/>
    </row>
    <row r="176" spans="1:11">
      <c r="A176" s="2"/>
      <c r="B176" s="2"/>
      <c r="C176" s="3" t="str">
        <f>IF(B176="","",IFERROR(VLOOKUP(B176,Players!$A$4:$B$200,2,FALSE),""))</f>
        <v/>
      </c>
      <c r="D176" s="2"/>
      <c r="E176" s="2"/>
      <c r="F176" s="2"/>
      <c r="G176" s="3" t="str">
        <f t="shared" si="10"/>
        <v/>
      </c>
      <c r="H176" s="5" t="str">
        <f t="shared" si="11"/>
        <v/>
      </c>
      <c r="I176" s="2"/>
      <c r="J176" s="2"/>
      <c r="K176" s="2"/>
    </row>
    <row r="177" spans="1:11">
      <c r="A177" s="2"/>
      <c r="B177" s="2"/>
      <c r="C177" s="3" t="str">
        <f>IF(B177="","",IFERROR(VLOOKUP(B177,Players!$A$4:$B$200,2,FALSE),""))</f>
        <v/>
      </c>
      <c r="D177" s="2"/>
      <c r="E177" s="2"/>
      <c r="F177" s="2"/>
      <c r="G177" s="3" t="str">
        <f t="shared" si="10"/>
        <v/>
      </c>
      <c r="H177" s="5" t="str">
        <f t="shared" si="11"/>
        <v/>
      </c>
      <c r="I177" s="2"/>
      <c r="J177" s="2"/>
      <c r="K177" s="2"/>
    </row>
    <row r="178" spans="1:11">
      <c r="A178" s="2"/>
      <c r="B178" s="2"/>
      <c r="C178" s="3" t="str">
        <f>IF(B178="","",IFERROR(VLOOKUP(B178,Players!$A$4:$B$200,2,FALSE),""))</f>
        <v/>
      </c>
      <c r="D178" s="2"/>
      <c r="E178" s="2"/>
      <c r="F178" s="2"/>
      <c r="G178" s="3" t="str">
        <f t="shared" si="10"/>
        <v/>
      </c>
      <c r="H178" s="5" t="str">
        <f t="shared" si="11"/>
        <v/>
      </c>
      <c r="I178" s="2"/>
      <c r="J178" s="2"/>
      <c r="K178" s="2"/>
    </row>
    <row r="179" spans="1:11">
      <c r="A179" s="2"/>
      <c r="B179" s="2"/>
      <c r="C179" s="3" t="str">
        <f>IF(B179="","",IFERROR(VLOOKUP(B179,Players!$A$4:$B$200,2,FALSE),""))</f>
        <v/>
      </c>
      <c r="D179" s="2"/>
      <c r="E179" s="2"/>
      <c r="F179" s="2"/>
      <c r="G179" s="3" t="str">
        <f t="shared" si="10"/>
        <v/>
      </c>
      <c r="H179" s="5" t="str">
        <f t="shared" si="11"/>
        <v/>
      </c>
      <c r="I179" s="2"/>
      <c r="J179" s="2"/>
      <c r="K179" s="2"/>
    </row>
    <row r="180" spans="1:11">
      <c r="A180" s="2"/>
      <c r="B180" s="2"/>
      <c r="C180" s="3" t="str">
        <f>IF(B180="","",IFERROR(VLOOKUP(B180,Players!$A$4:$B$200,2,FALSE),""))</f>
        <v/>
      </c>
      <c r="D180" s="2"/>
      <c r="E180" s="2"/>
      <c r="F180" s="2"/>
      <c r="G180" s="3" t="str">
        <f t="shared" si="10"/>
        <v/>
      </c>
      <c r="H180" s="5" t="str">
        <f t="shared" si="11"/>
        <v/>
      </c>
      <c r="I180" s="2"/>
      <c r="J180" s="2"/>
      <c r="K180" s="2"/>
    </row>
    <row r="181" spans="1:11">
      <c r="A181" s="2"/>
      <c r="B181" s="2"/>
      <c r="C181" s="3" t="str">
        <f>IF(B181="","",IFERROR(VLOOKUP(B181,Players!$A$4:$B$200,2,FALSE),""))</f>
        <v/>
      </c>
      <c r="D181" s="2"/>
      <c r="E181" s="2"/>
      <c r="F181" s="2"/>
      <c r="G181" s="3" t="str">
        <f t="shared" si="10"/>
        <v/>
      </c>
      <c r="H181" s="5" t="str">
        <f t="shared" si="11"/>
        <v/>
      </c>
      <c r="I181" s="2"/>
      <c r="J181" s="2"/>
      <c r="K181" s="2"/>
    </row>
    <row r="182" spans="1:11">
      <c r="A182" s="2"/>
      <c r="B182" s="2"/>
      <c r="C182" s="3" t="str">
        <f>IF(B182="","",IFERROR(VLOOKUP(B182,Players!$A$4:$B$200,2,FALSE),""))</f>
        <v/>
      </c>
      <c r="D182" s="2"/>
      <c r="E182" s="2"/>
      <c r="F182" s="2"/>
      <c r="G182" s="3" t="str">
        <f t="shared" si="10"/>
        <v/>
      </c>
      <c r="H182" s="5" t="str">
        <f t="shared" si="11"/>
        <v/>
      </c>
      <c r="I182" s="2"/>
      <c r="J182" s="2"/>
      <c r="K182" s="2"/>
    </row>
    <row r="183" spans="1:11">
      <c r="A183" s="2"/>
      <c r="B183" s="2"/>
      <c r="C183" s="3" t="str">
        <f>IF(B183="","",IFERROR(VLOOKUP(B183,Players!$A$4:$B$200,2,FALSE),""))</f>
        <v/>
      </c>
      <c r="D183" s="2"/>
      <c r="E183" s="2"/>
      <c r="F183" s="2"/>
      <c r="G183" s="3" t="str">
        <f t="shared" si="10"/>
        <v/>
      </c>
      <c r="H183" s="5" t="str">
        <f t="shared" si="11"/>
        <v/>
      </c>
      <c r="I183" s="2"/>
      <c r="J183" s="2"/>
      <c r="K183" s="2"/>
    </row>
    <row r="184" spans="1:11">
      <c r="A184" s="2"/>
      <c r="B184" s="2"/>
      <c r="C184" s="3" t="str">
        <f>IF(B184="","",IFERROR(VLOOKUP(B184,Players!$A$4:$B$200,2,FALSE),""))</f>
        <v/>
      </c>
      <c r="D184" s="2"/>
      <c r="E184" s="2"/>
      <c r="F184" s="2"/>
      <c r="G184" s="3" t="str">
        <f t="shared" si="10"/>
        <v/>
      </c>
      <c r="H184" s="5" t="str">
        <f t="shared" si="11"/>
        <v/>
      </c>
      <c r="I184" s="2"/>
      <c r="J184" s="2"/>
      <c r="K184" s="2"/>
    </row>
    <row r="185" spans="1:11">
      <c r="A185" s="2"/>
      <c r="B185" s="2"/>
      <c r="C185" s="3" t="str">
        <f>IF(B185="","",IFERROR(VLOOKUP(B185,Players!$A$4:$B$200,2,FALSE),""))</f>
        <v/>
      </c>
      <c r="D185" s="2"/>
      <c r="E185" s="2"/>
      <c r="F185" s="2"/>
      <c r="G185" s="3" t="str">
        <f t="shared" si="10"/>
        <v/>
      </c>
      <c r="H185" s="5" t="str">
        <f t="shared" si="11"/>
        <v/>
      </c>
      <c r="I185" s="2"/>
      <c r="J185" s="2"/>
      <c r="K185" s="2"/>
    </row>
    <row r="186" spans="1:11">
      <c r="A186" s="2"/>
      <c r="B186" s="2"/>
      <c r="C186" s="3" t="str">
        <f>IF(B186="","",IFERROR(VLOOKUP(B186,Players!$A$4:$B$200,2,FALSE),""))</f>
        <v/>
      </c>
      <c r="D186" s="2"/>
      <c r="E186" s="2"/>
      <c r="F186" s="2"/>
      <c r="G186" s="3" t="str">
        <f t="shared" si="10"/>
        <v/>
      </c>
      <c r="H186" s="5" t="str">
        <f t="shared" si="11"/>
        <v/>
      </c>
      <c r="I186" s="2"/>
      <c r="J186" s="2"/>
      <c r="K186" s="2"/>
    </row>
    <row r="187" spans="1:11">
      <c r="A187" s="2"/>
      <c r="B187" s="2"/>
      <c r="C187" s="3" t="str">
        <f>IF(B187="","",IFERROR(VLOOKUP(B187,Players!$A$4:$B$200,2,FALSE),""))</f>
        <v/>
      </c>
      <c r="D187" s="2"/>
      <c r="E187" s="2"/>
      <c r="F187" s="2"/>
      <c r="G187" s="3" t="str">
        <f t="shared" si="10"/>
        <v/>
      </c>
      <c r="H187" s="5" t="str">
        <f t="shared" si="11"/>
        <v/>
      </c>
      <c r="I187" s="2"/>
      <c r="J187" s="2"/>
      <c r="K187" s="2"/>
    </row>
    <row r="188" spans="1:11">
      <c r="A188" s="2"/>
      <c r="B188" s="2"/>
      <c r="C188" s="3" t="str">
        <f>IF(B188="","",IFERROR(VLOOKUP(B188,Players!$A$4:$B$200,2,FALSE),""))</f>
        <v/>
      </c>
      <c r="D188" s="2"/>
      <c r="E188" s="2"/>
      <c r="F188" s="2"/>
      <c r="G188" s="3" t="str">
        <f t="shared" si="10"/>
        <v/>
      </c>
      <c r="H188" s="5" t="str">
        <f t="shared" si="11"/>
        <v/>
      </c>
      <c r="I188" s="2"/>
      <c r="J188" s="2"/>
      <c r="K188" s="2"/>
    </row>
    <row r="189" spans="1:11">
      <c r="A189" s="2"/>
      <c r="B189" s="2"/>
      <c r="C189" s="3" t="str">
        <f>IF(B189="","",IFERROR(VLOOKUP(B189,Players!$A$4:$B$200,2,FALSE),""))</f>
        <v/>
      </c>
      <c r="D189" s="2"/>
      <c r="E189" s="2"/>
      <c r="F189" s="2"/>
      <c r="G189" s="3" t="str">
        <f t="shared" si="10"/>
        <v/>
      </c>
      <c r="H189" s="5" t="str">
        <f t="shared" si="11"/>
        <v/>
      </c>
      <c r="I189" s="2"/>
      <c r="J189" s="2"/>
      <c r="K189" s="2"/>
    </row>
    <row r="190" spans="1:11">
      <c r="A190" s="2"/>
      <c r="B190" s="2"/>
      <c r="C190" s="3" t="str">
        <f>IF(B190="","",IFERROR(VLOOKUP(B190,Players!$A$4:$B$200,2,FALSE),""))</f>
        <v/>
      </c>
      <c r="D190" s="2"/>
      <c r="E190" s="2"/>
      <c r="F190" s="2"/>
      <c r="G190" s="3" t="str">
        <f t="shared" si="10"/>
        <v/>
      </c>
      <c r="H190" s="5" t="str">
        <f t="shared" si="11"/>
        <v/>
      </c>
      <c r="I190" s="2"/>
      <c r="J190" s="2"/>
      <c r="K190" s="2"/>
    </row>
    <row r="191" spans="1:11">
      <c r="A191" s="2"/>
      <c r="B191" s="2"/>
      <c r="C191" s="3" t="str">
        <f>IF(B191="","",IFERROR(VLOOKUP(B191,Players!$A$4:$B$200,2,FALSE),""))</f>
        <v/>
      </c>
      <c r="D191" s="2"/>
      <c r="E191" s="2"/>
      <c r="F191" s="2"/>
      <c r="G191" s="3" t="str">
        <f t="shared" si="10"/>
        <v/>
      </c>
      <c r="H191" s="5" t="str">
        <f t="shared" si="11"/>
        <v/>
      </c>
      <c r="I191" s="2"/>
      <c r="J191" s="2"/>
      <c r="K191" s="2"/>
    </row>
    <row r="192" spans="1:11">
      <c r="A192" s="2"/>
      <c r="B192" s="2"/>
      <c r="C192" s="3" t="str">
        <f>IF(B192="","",IFERROR(VLOOKUP(B192,Players!$A$4:$B$200,2,FALSE),""))</f>
        <v/>
      </c>
      <c r="D192" s="2"/>
      <c r="E192" s="2"/>
      <c r="F192" s="2"/>
      <c r="G192" s="3" t="str">
        <f t="shared" si="10"/>
        <v/>
      </c>
      <c r="H192" s="5" t="str">
        <f t="shared" si="11"/>
        <v/>
      </c>
      <c r="I192" s="2"/>
      <c r="J192" s="2"/>
      <c r="K192" s="2"/>
    </row>
    <row r="193" spans="1:11">
      <c r="A193" s="2"/>
      <c r="B193" s="2"/>
      <c r="C193" s="3" t="str">
        <f>IF(B193="","",IFERROR(VLOOKUP(B193,Players!$A$4:$B$200,2,FALSE),""))</f>
        <v/>
      </c>
      <c r="D193" s="2"/>
      <c r="E193" s="2"/>
      <c r="F193" s="2"/>
      <c r="G193" s="3" t="str">
        <f t="shared" si="10"/>
        <v/>
      </c>
      <c r="H193" s="5" t="str">
        <f t="shared" si="11"/>
        <v/>
      </c>
      <c r="I193" s="2"/>
      <c r="J193" s="2"/>
      <c r="K193" s="2"/>
    </row>
    <row r="194" spans="1:11">
      <c r="A194" s="2"/>
      <c r="B194" s="2"/>
      <c r="C194" s="3" t="str">
        <f>IF(B194="","",IFERROR(VLOOKUP(B194,Players!$A$4:$B$200,2,FALSE),""))</f>
        <v/>
      </c>
      <c r="D194" s="2"/>
      <c r="E194" s="2"/>
      <c r="F194" s="2"/>
      <c r="G194" s="3" t="str">
        <f t="shared" si="10"/>
        <v/>
      </c>
      <c r="H194" s="5" t="str">
        <f t="shared" si="11"/>
        <v/>
      </c>
      <c r="I194" s="2"/>
      <c r="J194" s="2"/>
      <c r="K194" s="2"/>
    </row>
    <row r="195" spans="1:11">
      <c r="A195" s="2"/>
      <c r="B195" s="2"/>
      <c r="C195" s="3" t="str">
        <f>IF(B195="","",IFERROR(VLOOKUP(B195,Players!$A$4:$B$200,2,FALSE),""))</f>
        <v/>
      </c>
      <c r="D195" s="2"/>
      <c r="E195" s="2"/>
      <c r="F195" s="2"/>
      <c r="G195" s="3" t="str">
        <f t="shared" si="10"/>
        <v/>
      </c>
      <c r="H195" s="5" t="str">
        <f t="shared" si="11"/>
        <v/>
      </c>
      <c r="I195" s="2"/>
      <c r="J195" s="2"/>
      <c r="K195" s="2"/>
    </row>
    <row r="196" spans="1:11">
      <c r="A196" s="2"/>
      <c r="B196" s="2"/>
      <c r="C196" s="3" t="str">
        <f>IF(B196="","",IFERROR(VLOOKUP(B196,Players!$A$4:$B$200,2,FALSE),""))</f>
        <v/>
      </c>
      <c r="D196" s="2"/>
      <c r="E196" s="2"/>
      <c r="F196" s="2"/>
      <c r="G196" s="3" t="str">
        <f t="shared" ref="G196:G200" si="12">IF(E196="","",E196-F196)</f>
        <v/>
      </c>
      <c r="H196" s="5" t="str">
        <f t="shared" ref="H196:H200" si="13">IF(OR(E196="",E196=0),"",G196/E196)</f>
        <v/>
      </c>
      <c r="I196" s="2"/>
      <c r="J196" s="2"/>
      <c r="K196" s="2"/>
    </row>
    <row r="197" spans="1:11">
      <c r="A197" s="2"/>
      <c r="B197" s="2"/>
      <c r="C197" s="3" t="str">
        <f>IF(B197="","",IFERROR(VLOOKUP(B197,Players!$A$4:$B$200,2,FALSE),""))</f>
        <v/>
      </c>
      <c r="D197" s="2"/>
      <c r="E197" s="2"/>
      <c r="F197" s="2"/>
      <c r="G197" s="3" t="str">
        <f t="shared" si="12"/>
        <v/>
      </c>
      <c r="H197" s="5" t="str">
        <f t="shared" si="13"/>
        <v/>
      </c>
      <c r="I197" s="2"/>
      <c r="J197" s="2"/>
      <c r="K197" s="2"/>
    </row>
    <row r="198" spans="1:11">
      <c r="A198" s="2"/>
      <c r="B198" s="2"/>
      <c r="C198" s="3" t="str">
        <f>IF(B198="","",IFERROR(VLOOKUP(B198,Players!$A$4:$B$200,2,FALSE),""))</f>
        <v/>
      </c>
      <c r="D198" s="2"/>
      <c r="E198" s="2"/>
      <c r="F198" s="2"/>
      <c r="G198" s="3" t="str">
        <f t="shared" si="12"/>
        <v/>
      </c>
      <c r="H198" s="5" t="str">
        <f t="shared" si="13"/>
        <v/>
      </c>
      <c r="I198" s="2"/>
      <c r="J198" s="2"/>
      <c r="K198" s="2"/>
    </row>
    <row r="199" spans="1:11">
      <c r="A199" s="2"/>
      <c r="B199" s="2"/>
      <c r="C199" s="3" t="str">
        <f>IF(B199="","",IFERROR(VLOOKUP(B199,Players!$A$4:$B$200,2,FALSE),""))</f>
        <v/>
      </c>
      <c r="D199" s="2"/>
      <c r="E199" s="2"/>
      <c r="F199" s="2"/>
      <c r="G199" s="3" t="str">
        <f t="shared" si="12"/>
        <v/>
      </c>
      <c r="H199" s="5" t="str">
        <f t="shared" si="13"/>
        <v/>
      </c>
      <c r="I199" s="2"/>
      <c r="J199" s="2"/>
      <c r="K199" s="2"/>
    </row>
    <row r="200" spans="1:11">
      <c r="A200" s="2"/>
      <c r="B200" s="2"/>
      <c r="C200" s="3" t="str">
        <f>IF(B200="","",IFERROR(VLOOKUP(B200,Players!$A$4:$B$200,2,FALSE),""))</f>
        <v/>
      </c>
      <c r="D200" s="2"/>
      <c r="E200" s="2"/>
      <c r="F200" s="2"/>
      <c r="G200" s="3" t="str">
        <f t="shared" si="12"/>
        <v/>
      </c>
      <c r="H200" s="5" t="str">
        <f t="shared" si="13"/>
        <v/>
      </c>
      <c r="I200" s="2"/>
      <c r="J200" s="2"/>
      <c r="K200" s="2"/>
    </row>
  </sheetData>
  <mergeCells count="1">
    <mergeCell ref="A1:K1"/>
  </mergeCells>
  <dataValidations count="2">
    <dataValidation type="list" sqref="I4:I200" xr:uid="{00000000-0002-0000-0400-000002000000}">
      <formula1>"Yes,No"</formula1>
    </dataValidation>
    <dataValidation type="list" sqref="J4:J200" xr:uid="{00000000-0002-0000-0400-000003000000}">
      <formula1>"W,L,OTL,ND"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400-000001000000}">
          <x14:formula1>
            <xm:f>Players!$A$4:$A$200</xm:f>
          </x14:formula1>
          <xm:sqref>B4:B200</xm:sqref>
        </x14:dataValidation>
        <x14:dataValidation type="list" xr:uid="{00000000-0002-0000-0400-000000000000}">
          <x14:formula1>
            <xm:f>Games!$A$4:$A$200</xm:f>
          </x14:formula1>
          <xm:sqref>A4:A200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06D7-21FB-428F-802C-72F9E7BDE1D7}">
  <dimension ref="A1:J16"/>
  <sheetViews>
    <sheetView workbookViewId="0">
      <selection activeCell="B16" sqref="B16"/>
    </sheetView>
  </sheetViews>
  <sheetFormatPr defaultRowHeight="14.25"/>
  <cols>
    <col min="1" max="1" width="20.375" customWidth="1"/>
  </cols>
  <sheetData>
    <row r="1" spans="1:10" ht="20.25">
      <c r="A1" s="22" t="s">
        <v>270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15">
      <c r="A3" s="6" t="s">
        <v>271</v>
      </c>
      <c r="B3" s="6" t="s">
        <v>272</v>
      </c>
      <c r="C3" s="6" t="s">
        <v>273</v>
      </c>
      <c r="D3" s="6" t="s">
        <v>274</v>
      </c>
      <c r="E3" s="6" t="s">
        <v>275</v>
      </c>
      <c r="F3" s="6" t="s">
        <v>276</v>
      </c>
      <c r="G3" s="6" t="s">
        <v>277</v>
      </c>
      <c r="H3" s="6" t="s">
        <v>278</v>
      </c>
      <c r="I3" s="6" t="s">
        <v>279</v>
      </c>
      <c r="J3" s="6" t="s">
        <v>280</v>
      </c>
    </row>
    <row r="4" spans="1:10">
      <c r="A4" t="s">
        <v>107</v>
      </c>
      <c r="B4">
        <v>5</v>
      </c>
      <c r="C4">
        <v>0</v>
      </c>
      <c r="D4">
        <v>0</v>
      </c>
      <c r="E4">
        <v>0</v>
      </c>
      <c r="F4">
        <v>5</v>
      </c>
      <c r="G4">
        <v>5</v>
      </c>
      <c r="H4">
        <v>46</v>
      </c>
      <c r="I4">
        <f>G4-H4</f>
        <v>-41</v>
      </c>
      <c r="J4">
        <v>0</v>
      </c>
    </row>
    <row r="5" spans="1:10">
      <c r="A5" t="s">
        <v>86</v>
      </c>
      <c r="B5">
        <v>8</v>
      </c>
      <c r="C5">
        <v>4</v>
      </c>
      <c r="D5">
        <v>0</v>
      </c>
      <c r="E5">
        <v>0</v>
      </c>
      <c r="F5">
        <v>4</v>
      </c>
      <c r="G5">
        <v>41</v>
      </c>
      <c r="H5">
        <v>30</v>
      </c>
      <c r="I5">
        <f t="shared" ref="I5:I16" si="0">G5-H5</f>
        <v>11</v>
      </c>
      <c r="J5">
        <v>12</v>
      </c>
    </row>
    <row r="6" spans="1:10">
      <c r="A6" t="s">
        <v>75</v>
      </c>
      <c r="B6">
        <v>6</v>
      </c>
      <c r="C6">
        <v>3</v>
      </c>
      <c r="D6">
        <v>0</v>
      </c>
      <c r="E6">
        <v>1</v>
      </c>
      <c r="F6">
        <v>2</v>
      </c>
      <c r="G6">
        <v>18</v>
      </c>
      <c r="H6">
        <v>23</v>
      </c>
      <c r="I6">
        <f t="shared" si="0"/>
        <v>-5</v>
      </c>
      <c r="J6">
        <v>10</v>
      </c>
    </row>
    <row r="7" spans="1:10">
      <c r="A7" t="s">
        <v>48</v>
      </c>
      <c r="B7">
        <v>5</v>
      </c>
      <c r="C7">
        <v>0</v>
      </c>
      <c r="D7">
        <v>0</v>
      </c>
      <c r="E7">
        <v>0</v>
      </c>
      <c r="F7">
        <v>5</v>
      </c>
      <c r="G7">
        <v>5</v>
      </c>
      <c r="H7">
        <v>26</v>
      </c>
      <c r="I7">
        <f t="shared" si="0"/>
        <v>-21</v>
      </c>
      <c r="J7">
        <v>0</v>
      </c>
    </row>
    <row r="8" spans="1:10">
      <c r="A8" t="s">
        <v>59</v>
      </c>
      <c r="B8">
        <v>5</v>
      </c>
      <c r="C8">
        <v>2</v>
      </c>
      <c r="D8">
        <v>1</v>
      </c>
      <c r="E8">
        <v>0</v>
      </c>
      <c r="F8">
        <v>2</v>
      </c>
      <c r="G8">
        <v>25</v>
      </c>
      <c r="H8">
        <v>25</v>
      </c>
      <c r="I8">
        <f t="shared" si="0"/>
        <v>0</v>
      </c>
      <c r="J8">
        <v>8</v>
      </c>
    </row>
    <row r="9" spans="1:10">
      <c r="A9" t="s">
        <v>69</v>
      </c>
      <c r="B9">
        <v>6</v>
      </c>
      <c r="C9">
        <v>4</v>
      </c>
      <c r="D9">
        <v>0</v>
      </c>
      <c r="E9">
        <v>0</v>
      </c>
      <c r="F9">
        <v>2</v>
      </c>
      <c r="G9">
        <v>30</v>
      </c>
      <c r="H9">
        <v>15</v>
      </c>
      <c r="I9">
        <f t="shared" si="0"/>
        <v>15</v>
      </c>
      <c r="J9">
        <v>12</v>
      </c>
    </row>
    <row r="10" spans="1:10">
      <c r="A10" t="s">
        <v>53</v>
      </c>
      <c r="B10">
        <v>7</v>
      </c>
      <c r="C10">
        <v>5</v>
      </c>
      <c r="D10">
        <v>1</v>
      </c>
      <c r="E10">
        <v>0</v>
      </c>
      <c r="F10">
        <v>1</v>
      </c>
      <c r="G10">
        <v>47</v>
      </c>
      <c r="H10">
        <v>22</v>
      </c>
      <c r="I10">
        <f t="shared" si="0"/>
        <v>25</v>
      </c>
      <c r="J10">
        <v>17</v>
      </c>
    </row>
    <row r="11" spans="1:10">
      <c r="A11" t="s">
        <v>102</v>
      </c>
      <c r="B11">
        <v>8</v>
      </c>
      <c r="C11">
        <v>2</v>
      </c>
      <c r="D11">
        <v>1</v>
      </c>
      <c r="E11">
        <v>0</v>
      </c>
      <c r="F11">
        <v>5</v>
      </c>
      <c r="G11">
        <v>27</v>
      </c>
      <c r="H11">
        <v>42</v>
      </c>
      <c r="I11">
        <f t="shared" si="0"/>
        <v>-15</v>
      </c>
      <c r="J11">
        <v>8</v>
      </c>
    </row>
    <row r="12" spans="1:10">
      <c r="A12" t="s">
        <v>31</v>
      </c>
      <c r="B12">
        <v>7</v>
      </c>
      <c r="C12">
        <v>4</v>
      </c>
      <c r="D12">
        <v>0</v>
      </c>
      <c r="E12">
        <v>2</v>
      </c>
      <c r="F12">
        <v>1</v>
      </c>
      <c r="G12">
        <v>32</v>
      </c>
      <c r="H12">
        <v>18</v>
      </c>
      <c r="I12">
        <f t="shared" si="0"/>
        <v>14</v>
      </c>
      <c r="J12">
        <v>14</v>
      </c>
    </row>
    <row r="13" spans="1:10">
      <c r="A13" t="s">
        <v>81</v>
      </c>
      <c r="B13">
        <v>5</v>
      </c>
      <c r="C13">
        <v>2</v>
      </c>
      <c r="D13">
        <v>1</v>
      </c>
      <c r="E13">
        <v>0</v>
      </c>
      <c r="F13">
        <v>2</v>
      </c>
      <c r="G13">
        <v>20</v>
      </c>
      <c r="H13">
        <v>21</v>
      </c>
      <c r="I13">
        <f t="shared" si="0"/>
        <v>-1</v>
      </c>
      <c r="J13">
        <v>8</v>
      </c>
    </row>
    <row r="14" spans="1:10">
      <c r="A14" t="s">
        <v>64</v>
      </c>
      <c r="B14">
        <v>3</v>
      </c>
      <c r="C14">
        <v>2</v>
      </c>
      <c r="D14">
        <v>0</v>
      </c>
      <c r="E14">
        <v>0</v>
      </c>
      <c r="F14">
        <v>1</v>
      </c>
      <c r="G14">
        <v>15</v>
      </c>
      <c r="H14">
        <v>10</v>
      </c>
      <c r="I14">
        <f t="shared" si="0"/>
        <v>5</v>
      </c>
      <c r="J14">
        <v>6</v>
      </c>
    </row>
    <row r="15" spans="1:10">
      <c r="A15" t="s">
        <v>91</v>
      </c>
      <c r="B15">
        <v>8</v>
      </c>
      <c r="C15">
        <v>4</v>
      </c>
      <c r="D15">
        <v>0</v>
      </c>
      <c r="E15">
        <v>0</v>
      </c>
      <c r="F15">
        <v>4</v>
      </c>
      <c r="G15">
        <v>41</v>
      </c>
      <c r="H15">
        <v>30</v>
      </c>
      <c r="I15">
        <f t="shared" si="0"/>
        <v>11</v>
      </c>
      <c r="J15">
        <v>12</v>
      </c>
    </row>
    <row r="16" spans="1:10">
      <c r="A16" t="s">
        <v>96</v>
      </c>
      <c r="B16">
        <v>3</v>
      </c>
      <c r="C16">
        <v>0</v>
      </c>
      <c r="D16">
        <v>0</v>
      </c>
      <c r="E16">
        <v>1</v>
      </c>
      <c r="F16">
        <v>2</v>
      </c>
      <c r="G16">
        <v>7</v>
      </c>
      <c r="H16">
        <v>17</v>
      </c>
      <c r="I16">
        <f t="shared" si="0"/>
        <v>-10</v>
      </c>
      <c r="J16">
        <v>1</v>
      </c>
    </row>
  </sheetData>
  <mergeCells count="1">
    <mergeCell ref="A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1908-464E-4F9B-8316-B9A7357174A7}">
  <dimension ref="A1:J9"/>
  <sheetViews>
    <sheetView workbookViewId="0">
      <selection activeCell="B9" sqref="B9"/>
    </sheetView>
  </sheetViews>
  <sheetFormatPr defaultRowHeight="14.25"/>
  <cols>
    <col min="1" max="1" width="20.375" customWidth="1"/>
  </cols>
  <sheetData>
    <row r="1" spans="1:10" ht="20.25">
      <c r="A1" s="22" t="s">
        <v>281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15">
      <c r="A3" s="6" t="s">
        <v>271</v>
      </c>
      <c r="B3" s="6" t="s">
        <v>272</v>
      </c>
      <c r="C3" s="6" t="s">
        <v>273</v>
      </c>
      <c r="D3" s="6" t="s">
        <v>274</v>
      </c>
      <c r="E3" s="6" t="s">
        <v>275</v>
      </c>
      <c r="F3" s="6" t="s">
        <v>276</v>
      </c>
      <c r="G3" s="6" t="s">
        <v>277</v>
      </c>
      <c r="H3" s="6" t="s">
        <v>278</v>
      </c>
      <c r="I3" s="6" t="s">
        <v>279</v>
      </c>
      <c r="J3" s="6" t="s">
        <v>280</v>
      </c>
    </row>
    <row r="4" spans="1:10">
      <c r="A4" t="s">
        <v>86</v>
      </c>
      <c r="B4">
        <v>5</v>
      </c>
      <c r="C4">
        <v>4</v>
      </c>
      <c r="D4">
        <v>0</v>
      </c>
      <c r="E4">
        <v>0</v>
      </c>
      <c r="F4">
        <v>1</v>
      </c>
      <c r="G4">
        <v>31</v>
      </c>
      <c r="H4">
        <v>16</v>
      </c>
      <c r="I4">
        <f>G4-H4</f>
        <v>15</v>
      </c>
      <c r="J4">
        <v>12</v>
      </c>
    </row>
    <row r="5" spans="1:10">
      <c r="A5" t="s">
        <v>48</v>
      </c>
      <c r="B5">
        <v>3</v>
      </c>
      <c r="C5">
        <v>0</v>
      </c>
      <c r="D5">
        <v>0</v>
      </c>
      <c r="E5">
        <v>0</v>
      </c>
      <c r="F5">
        <v>3</v>
      </c>
      <c r="G5">
        <v>2</v>
      </c>
      <c r="H5">
        <v>16</v>
      </c>
      <c r="I5">
        <f t="shared" ref="I5:I9" si="0">G5-H5</f>
        <v>-14</v>
      </c>
      <c r="J5">
        <v>0</v>
      </c>
    </row>
    <row r="6" spans="1:10">
      <c r="A6" t="s">
        <v>53</v>
      </c>
      <c r="B6">
        <v>5</v>
      </c>
      <c r="C6">
        <v>3</v>
      </c>
      <c r="D6">
        <v>1</v>
      </c>
      <c r="E6">
        <v>0</v>
      </c>
      <c r="F6">
        <v>1</v>
      </c>
      <c r="G6">
        <v>33</v>
      </c>
      <c r="H6">
        <v>18</v>
      </c>
      <c r="I6">
        <f t="shared" si="0"/>
        <v>15</v>
      </c>
      <c r="J6">
        <v>11</v>
      </c>
    </row>
    <row r="7" spans="1:10">
      <c r="A7" t="s">
        <v>102</v>
      </c>
      <c r="B7">
        <v>6</v>
      </c>
      <c r="C7">
        <v>1</v>
      </c>
      <c r="D7">
        <v>1</v>
      </c>
      <c r="E7">
        <v>0</v>
      </c>
      <c r="F7">
        <v>4</v>
      </c>
      <c r="G7">
        <v>19</v>
      </c>
      <c r="H7">
        <v>34</v>
      </c>
      <c r="I7">
        <f t="shared" si="0"/>
        <v>-15</v>
      </c>
      <c r="J7">
        <v>5</v>
      </c>
    </row>
    <row r="8" spans="1:10">
      <c r="A8" t="s">
        <v>31</v>
      </c>
      <c r="B8">
        <v>4</v>
      </c>
      <c r="C8">
        <v>3</v>
      </c>
      <c r="D8">
        <v>0</v>
      </c>
      <c r="E8">
        <v>1</v>
      </c>
      <c r="F8">
        <v>0</v>
      </c>
      <c r="G8">
        <v>18</v>
      </c>
      <c r="H8">
        <v>9</v>
      </c>
      <c r="I8">
        <f t="shared" si="0"/>
        <v>9</v>
      </c>
      <c r="J8">
        <v>10</v>
      </c>
    </row>
    <row r="9" spans="1:10">
      <c r="A9" t="s">
        <v>96</v>
      </c>
      <c r="B9">
        <v>3</v>
      </c>
      <c r="C9">
        <v>0</v>
      </c>
      <c r="D9">
        <v>0</v>
      </c>
      <c r="E9">
        <v>1</v>
      </c>
      <c r="F9">
        <v>2</v>
      </c>
      <c r="G9">
        <v>7</v>
      </c>
      <c r="H9">
        <v>17</v>
      </c>
      <c r="I9">
        <f t="shared" si="0"/>
        <v>-10</v>
      </c>
      <c r="J9">
        <v>0</v>
      </c>
    </row>
  </sheetData>
  <mergeCells count="1">
    <mergeCell ref="A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3"/>
  <sheetViews>
    <sheetView zoomScaleNormal="100" zoomScaleSheetLayoutView="100" workbookViewId="0">
      <selection activeCell="F5" sqref="F5"/>
    </sheetView>
  </sheetViews>
  <sheetFormatPr defaultRowHeight="14.25"/>
  <cols>
    <col min="1" max="1" width="37.25" customWidth="1"/>
    <col min="2" max="2" width="24" customWidth="1"/>
    <col min="3" max="3" width="4" customWidth="1"/>
    <col min="4" max="4" width="8.625" customWidth="1"/>
    <col min="5" max="5" width="5.25" customWidth="1"/>
    <col min="6" max="6" width="3.625" customWidth="1"/>
    <col min="7" max="7" width="3" customWidth="1"/>
    <col min="8" max="8" width="4.5" customWidth="1"/>
    <col min="9" max="9" width="4.625" customWidth="1"/>
    <col min="10" max="10" width="4.875" customWidth="1"/>
    <col min="12" max="12" width="12" customWidth="1"/>
    <col min="13" max="13" width="9.125" customWidth="1"/>
  </cols>
  <sheetData>
    <row r="1" spans="1:13" ht="20.25">
      <c r="A1" s="22" t="s">
        <v>282</v>
      </c>
      <c r="B1" s="22"/>
      <c r="C1" s="22"/>
      <c r="D1" s="22"/>
      <c r="E1" s="22"/>
      <c r="F1" s="22"/>
      <c r="G1" s="22"/>
      <c r="H1" s="22"/>
      <c r="I1" s="22"/>
      <c r="J1" s="22"/>
    </row>
    <row r="2" spans="1:13" ht="15">
      <c r="L2" s="6" t="s">
        <v>283</v>
      </c>
      <c r="M2" s="6" t="s">
        <v>284</v>
      </c>
    </row>
    <row r="3" spans="1:13" ht="30">
      <c r="A3" s="1" t="s">
        <v>111</v>
      </c>
      <c r="B3" s="1" t="s">
        <v>285</v>
      </c>
      <c r="C3" s="1" t="s">
        <v>286</v>
      </c>
      <c r="D3" s="1" t="s">
        <v>287</v>
      </c>
      <c r="E3" s="1" t="s">
        <v>272</v>
      </c>
      <c r="F3" s="1" t="s">
        <v>288</v>
      </c>
      <c r="G3" s="1" t="s">
        <v>222</v>
      </c>
      <c r="H3" s="1" t="s">
        <v>280</v>
      </c>
      <c r="I3" s="1" t="s">
        <v>260</v>
      </c>
      <c r="J3" s="1" t="s">
        <v>261</v>
      </c>
      <c r="K3" s="13"/>
      <c r="L3" s="12" t="s">
        <v>289</v>
      </c>
      <c r="M3" s="12">
        <f>COUNT(Games!$A$4:$A$200)</f>
        <v>0</v>
      </c>
    </row>
    <row r="4" spans="1:13">
      <c r="A4" s="12" t="str">
        <f>IF(Players!A4="","",Players!A4)</f>
        <v>P001</v>
      </c>
      <c r="B4" s="12" t="str">
        <f>IF(A4="","",IFERROR(VLOOKUP(A4,Players!$A$4:$D$200,2,FALSE),""))</f>
        <v>Sam Peters</v>
      </c>
      <c r="C4" s="12">
        <f>IF(A4="","",IFERROR(VLOOKUP(A4,Players!$A$4:$D$200,3,FALSE),""))</f>
        <v>9</v>
      </c>
      <c r="D4" s="12" t="str">
        <f>IF(A4="","",IFERROR(VLOOKUP(A4,Players!$A$4:$D$200,4,FALSE),""))</f>
        <v>Forward</v>
      </c>
      <c r="E4" s="12">
        <v>7</v>
      </c>
      <c r="F4" s="12">
        <v>7</v>
      </c>
      <c r="G4" s="12">
        <v>7</v>
      </c>
      <c r="H4" s="12">
        <f t="shared" ref="H4:H35" si="0">IF(A4="","",F4+G4)</f>
        <v>14</v>
      </c>
      <c r="I4" s="12">
        <f>IF(A4="","",SUMIFS('Player Game Stats'!$H$4:$H$500,'Player Game Stats'!$B$4:$B$500,A4))</f>
        <v>0</v>
      </c>
      <c r="J4" s="12">
        <f>IF(A4="","",SUMIFS('Player Game Stats'!$I$4:$I$500,'Player Game Stats'!$B$4:$B$500,A4))</f>
        <v>0</v>
      </c>
      <c r="K4" s="13"/>
      <c r="L4" s="12" t="s">
        <v>290</v>
      </c>
      <c r="M4" s="12">
        <f>SUM(Games!$G$4:$G$200)</f>
        <v>49</v>
      </c>
    </row>
    <row r="5" spans="1:13">
      <c r="A5" s="12" t="str">
        <f>IF(Players!A5="","",Players!A5)</f>
        <v>P002</v>
      </c>
      <c r="B5" s="12" t="str">
        <f>IF(A5="","",IFERROR(VLOOKUP(A5,Players!$A$4:$D$200,2,FALSE),""))</f>
        <v>Marks Kanins</v>
      </c>
      <c r="C5" s="12">
        <f>IF(A5="","",IFERROR(VLOOKUP(A5,Players!$A$4:$D$200,3,FALSE),""))</f>
        <v>97</v>
      </c>
      <c r="D5" s="12" t="str">
        <f>IF(A5="","",IFERROR(VLOOKUP(A5,Players!$A$4:$D$200,4,FALSE),""))</f>
        <v>Forward</v>
      </c>
      <c r="E5" s="12">
        <f>IF(A5="","",COUNTIFS('Player Game Stats'!$B$4:$B$500,A5,'Player Game Stats'!$D$4:$D$500,"Yes"))</f>
        <v>1</v>
      </c>
      <c r="F5" s="12">
        <f>IF(A5="","",SUMIFS('Player Game Stats'!$E$4:$E$500,'Player Game Stats'!$B$4:$B$500,A5))</f>
        <v>1</v>
      </c>
      <c r="G5" s="12">
        <f>IF(A5="","",SUMIFS('Player Game Stats'!$F$4:$F$500,'Player Game Stats'!$B$4:$B$500,A5))</f>
        <v>3</v>
      </c>
      <c r="H5" s="12">
        <f t="shared" si="0"/>
        <v>4</v>
      </c>
      <c r="I5" s="12">
        <f>IF(A5="","",SUMIFS('Player Game Stats'!$H$4:$H$500,'Player Game Stats'!$B$4:$B$500,A5))</f>
        <v>0</v>
      </c>
      <c r="J5" s="12">
        <f>IF(A5="","",SUMIFS('Player Game Stats'!$I$4:$I$500,'Player Game Stats'!$B$4:$B$500,A5))</f>
        <v>0</v>
      </c>
      <c r="K5" s="13"/>
      <c r="L5" s="12" t="s">
        <v>291</v>
      </c>
      <c r="M5" s="12">
        <f>SUM(Games!$H$4:$H$200)</f>
        <v>24</v>
      </c>
    </row>
    <row r="6" spans="1:13">
      <c r="A6" s="12" t="str">
        <f>IF(Players!A6="","",Players!A6)</f>
        <v>P003</v>
      </c>
      <c r="B6" s="12" t="str">
        <f>IF(A6="","",IFERROR(VLOOKUP(A6,Players!$A$4:$D$200,2,FALSE),""))</f>
        <v>Dominic Wealthall</v>
      </c>
      <c r="C6" s="12">
        <f>IF(A6="","",IFERROR(VLOOKUP(A6,Players!$A$4:$D$200,3,FALSE),""))</f>
        <v>74</v>
      </c>
      <c r="D6" s="12" t="str">
        <f>IF(A6="","",IFERROR(VLOOKUP(A6,Players!$A$4:$D$200,4,FALSE),""))</f>
        <v>Defence</v>
      </c>
      <c r="E6" s="12">
        <f>IF(A6="","",COUNTIFS('Player Game Stats'!$B$4:$B$500,A6,'Player Game Stats'!$D$4:$D$500,"Yes"))</f>
        <v>1</v>
      </c>
      <c r="F6" s="12">
        <f>IF(A6="","",SUMIFS('Player Game Stats'!$E$4:$E$500,'Player Game Stats'!$B$4:$B$500,A6))</f>
        <v>0</v>
      </c>
      <c r="G6" s="12">
        <f>IF(A6="","",SUMIFS('Player Game Stats'!$F$4:$F$500,'Player Game Stats'!$B$4:$B$500,A6))</f>
        <v>1</v>
      </c>
      <c r="H6" s="12">
        <f t="shared" si="0"/>
        <v>1</v>
      </c>
      <c r="I6" s="12">
        <f>IF(A6="","",SUMIFS('Player Game Stats'!$H$4:$H$500,'Player Game Stats'!$B$4:$B$500,A6))</f>
        <v>7</v>
      </c>
      <c r="J6" s="12">
        <f>IF(A6="","",SUMIFS('Player Game Stats'!$I$4:$I$500,'Player Game Stats'!$B$4:$B$500,A6))</f>
        <v>0</v>
      </c>
      <c r="K6" s="13"/>
      <c r="L6" s="12" t="s">
        <v>292</v>
      </c>
      <c r="M6" s="12">
        <f>COUNTIF(Games!$I$4:$I$200,"W")</f>
        <v>6</v>
      </c>
    </row>
    <row r="7" spans="1:13">
      <c r="A7" s="12" t="str">
        <f>IF(Players!A7="","",Players!A7)</f>
        <v>P004</v>
      </c>
      <c r="B7" s="12" t="str">
        <f>IF(A7="","",IFERROR(VLOOKUP(A7,Players!$A$4:$D$200,2,FALSE),""))</f>
        <v>Aaron Burton</v>
      </c>
      <c r="C7" s="12">
        <f>IF(A7="","",IFERROR(VLOOKUP(A7,Players!$A$4:$D$200,3,FALSE),""))</f>
        <v>29</v>
      </c>
      <c r="D7" s="12" t="str">
        <f>IF(A7="","",IFERROR(VLOOKUP(A7,Players!$A$4:$D$200,4,FALSE),""))</f>
        <v>Netminder</v>
      </c>
      <c r="E7" s="12">
        <f>IF(A7="","",COUNTIFS('Player Game Stats'!$B$4:$B$500,A7,'Player Game Stats'!$D$4:$D$500,"Yes"))</f>
        <v>0</v>
      </c>
      <c r="F7" s="12">
        <f>IF(A7="","",SUMIFS('Player Game Stats'!$E$4:$E$500,'Player Game Stats'!$B$4:$B$500,A7))</f>
        <v>0</v>
      </c>
      <c r="G7" s="12">
        <f>IF(A7="","",SUMIFS('Player Game Stats'!$F$4:$F$500,'Player Game Stats'!$B$4:$B$500,A7))</f>
        <v>0</v>
      </c>
      <c r="H7" s="12">
        <f t="shared" si="0"/>
        <v>0</v>
      </c>
      <c r="I7" s="12">
        <f>IF(A7="","",SUMIFS('Player Game Stats'!$H$4:$H$500,'Player Game Stats'!$B$4:$B$500,A7))</f>
        <v>0</v>
      </c>
      <c r="J7" s="12">
        <f>IF(A7="","",SUMIFS('Player Game Stats'!$I$4:$I$500,'Player Game Stats'!$B$4:$B$500,A7))</f>
        <v>0</v>
      </c>
      <c r="K7" s="13"/>
      <c r="L7" s="12" t="s">
        <v>293</v>
      </c>
      <c r="M7" s="12">
        <f>COUNTIF(Games!$I$4:$I$200,"L")</f>
        <v>3</v>
      </c>
    </row>
    <row r="8" spans="1:13">
      <c r="A8" s="12" t="str">
        <f>IF(Players!A8="","",Players!A8)</f>
        <v>P005</v>
      </c>
      <c r="B8" s="12" t="str">
        <f>IF(A8="","",IFERROR(VLOOKUP(A8,Players!$A$4:$D$200,2,FALSE),""))</f>
        <v>Charlie Russell</v>
      </c>
      <c r="C8" s="12">
        <f>IF(A8="","",IFERROR(VLOOKUP(A8,Players!$A$4:$D$200,3,FALSE),""))</f>
        <v>12</v>
      </c>
      <c r="D8" s="12" t="str">
        <f>IF(A8="","",IFERROR(VLOOKUP(A8,Players!$A$4:$D$200,4,FALSE),""))</f>
        <v>Forward</v>
      </c>
      <c r="E8" s="12">
        <f>IF(A8="","",COUNTIFS('Player Game Stats'!$B$4:$B$500,A8,'Player Game Stats'!$D$4:$D$500,"Yes"))</f>
        <v>1</v>
      </c>
      <c r="F8" s="12">
        <f>IF(A8="","",SUMIFS('Player Game Stats'!$E$4:$E$500,'Player Game Stats'!$B$4:$B$500,A8))</f>
        <v>2</v>
      </c>
      <c r="G8" s="12">
        <f>IF(A8="","",SUMIFS('Player Game Stats'!$F$4:$F$500,'Player Game Stats'!$B$4:$B$500,A8))</f>
        <v>2</v>
      </c>
      <c r="H8" s="12">
        <f t="shared" si="0"/>
        <v>4</v>
      </c>
      <c r="I8" s="12">
        <f>IF(A8="","",SUMIFS('Player Game Stats'!$H$4:$H$500,'Player Game Stats'!$B$4:$B$500,A8))</f>
        <v>0</v>
      </c>
      <c r="J8" s="12">
        <f>IF(A8="","",SUMIFS('Player Game Stats'!$I$4:$I$500,'Player Game Stats'!$B$4:$B$500,A8))</f>
        <v>0</v>
      </c>
      <c r="K8" s="13"/>
      <c r="L8" s="12"/>
      <c r="M8" s="12"/>
    </row>
    <row r="9" spans="1:13">
      <c r="A9" s="15" t="str">
        <f>IF(Players!A9="","",Players!A9)</f>
        <v>P006</v>
      </c>
      <c r="B9" s="15" t="str">
        <f>IF(A9="","",IFERROR(VLOOKUP(A9,Players!$A$4:$D$200,2,FALSE),""))</f>
        <v>Lewis Smith</v>
      </c>
      <c r="C9" s="15">
        <f>IF(A9="","",IFERROR(VLOOKUP(A9,Players!$A$4:$D$200,3,FALSE),""))</f>
        <v>13</v>
      </c>
      <c r="D9" s="15" t="str">
        <f>IF(A9="","",IFERROR(VLOOKUP(A9,Players!$A$4:$D$200,4,FALSE),""))</f>
        <v>Forward</v>
      </c>
      <c r="E9" s="15">
        <f>IF(A9="","",COUNTIFS('Player Game Stats'!$B$4:$B$500,A9,'Player Game Stats'!$D$4:$D$500,"Yes"))</f>
        <v>1</v>
      </c>
      <c r="F9" s="15">
        <f>IF(A9="","",SUMIFS('Player Game Stats'!$E$4:$E$500,'Player Game Stats'!$B$4:$B$500,A9))</f>
        <v>3</v>
      </c>
      <c r="G9" s="15">
        <f>IF(A9="","",SUMIFS('Player Game Stats'!$F$4:$F$500,'Player Game Stats'!$B$4:$B$500,A9))</f>
        <v>4</v>
      </c>
      <c r="H9" s="15">
        <f t="shared" si="0"/>
        <v>7</v>
      </c>
      <c r="I9" s="15">
        <f>IF(A9="","",SUMIFS('Player Game Stats'!$H$4:$H$500,'Player Game Stats'!$B$4:$B$500,A9))</f>
        <v>0</v>
      </c>
      <c r="J9" s="15">
        <f>IF(A9="","",SUMIFS('Player Game Stats'!$I$4:$I$500,'Player Game Stats'!$B$4:$B$500,A9))</f>
        <v>0</v>
      </c>
      <c r="K9" s="13"/>
      <c r="L9" s="13"/>
    </row>
    <row r="10" spans="1:13">
      <c r="A10" s="14" t="str">
        <f>IF(Players!A10="","",Players!A10)</f>
        <v>P007</v>
      </c>
      <c r="B10" s="14" t="str">
        <f>IF(A10="","",IFERROR(VLOOKUP(A10,Players!$A$4:$D$200,2,FALSE),""))</f>
        <v>Robert Oxley</v>
      </c>
      <c r="C10" s="14">
        <f>IF(A10="","",IFERROR(VLOOKUP(A10,Players!$A$4:$D$200,3,FALSE),""))</f>
        <v>5</v>
      </c>
      <c r="D10" s="14" t="str">
        <f>IF(A10="","",IFERROR(VLOOKUP(A10,Players!$A$4:$D$200,4,FALSE),""))</f>
        <v>Defence</v>
      </c>
      <c r="E10" s="14">
        <f>IF(A10="","",COUNTIFS('Player Game Stats'!$B$4:$B$500,A10,'Player Game Stats'!$D$4:$D$500,"Yes"))</f>
        <v>0</v>
      </c>
      <c r="F10" s="14">
        <f>IF(A10="","",SUMIFS('Player Game Stats'!$E$4:$E$500,'Player Game Stats'!$B$4:$B$500,A10))</f>
        <v>0</v>
      </c>
      <c r="G10" s="14">
        <f>IF(A10="","",SUMIFS('Player Game Stats'!$F$4:$F$500,'Player Game Stats'!$B$4:$B$500,A10))</f>
        <v>0</v>
      </c>
      <c r="H10" s="14">
        <f t="shared" si="0"/>
        <v>0</v>
      </c>
      <c r="I10" s="14">
        <f>IF(A10="","",SUMIFS('Player Game Stats'!$H$4:$H$500,'Player Game Stats'!$B$4:$B$500,A10))</f>
        <v>0</v>
      </c>
      <c r="J10" s="14">
        <f>IF(A10="","",SUMIFS('Player Game Stats'!$I$4:$I$500,'Player Game Stats'!$B$4:$B$500,A10))</f>
        <v>0</v>
      </c>
      <c r="K10" s="13"/>
    </row>
    <row r="11" spans="1:13">
      <c r="A11" s="14" t="str">
        <f>IF(Players!A11="","",Players!A11)</f>
        <v>P008</v>
      </c>
      <c r="B11" s="14" t="str">
        <f>IF(A11="","",IFERROR(VLOOKUP(A11,Players!$A$4:$D$200,2,FALSE),""))</f>
        <v>Madi Wright</v>
      </c>
      <c r="C11" s="14">
        <f>IF(A11="","",IFERROR(VLOOKUP(A11,Players!$A$4:$D$200,3,FALSE),""))</f>
        <v>10</v>
      </c>
      <c r="D11" s="14" t="str">
        <f>IF(A11="","",IFERROR(VLOOKUP(A11,Players!$A$4:$D$200,4,FALSE),""))</f>
        <v>Defence</v>
      </c>
      <c r="E11" s="14">
        <f>IF(A11="","",COUNTIFS('Player Game Stats'!$B$4:$B$500,A11,'Player Game Stats'!$D$4:$D$500,"Yes"))</f>
        <v>0</v>
      </c>
      <c r="F11" s="14">
        <f>IF(A11="","",SUMIFS('Player Game Stats'!$E$4:$E$500,'Player Game Stats'!$B$4:$B$500,A11))</f>
        <v>0</v>
      </c>
      <c r="G11" s="14">
        <f>IF(A11="","",SUMIFS('Player Game Stats'!$F$4:$F$500,'Player Game Stats'!$B$4:$B$500,A11))</f>
        <v>0</v>
      </c>
      <c r="H11" s="14">
        <f t="shared" si="0"/>
        <v>0</v>
      </c>
      <c r="I11" s="14">
        <f>IF(A11="","",SUMIFS('Player Game Stats'!$H$4:$H$500,'Player Game Stats'!$B$4:$B$500,A11))</f>
        <v>0</v>
      </c>
      <c r="J11" s="14">
        <f>IF(A11="","",SUMIFS('Player Game Stats'!$I$4:$I$500,'Player Game Stats'!$B$4:$B$500,A11))</f>
        <v>0</v>
      </c>
      <c r="K11" s="13"/>
    </row>
    <row r="12" spans="1:13">
      <c r="A12" s="14" t="str">
        <f>IF(Players!A12="","",Players!A12)</f>
        <v>P009</v>
      </c>
      <c r="B12" s="14" t="str">
        <f>IF(A12="","",IFERROR(VLOOKUP(A12,Players!$A$4:$D$200,2,FALSE),""))</f>
        <v>Lizzie Nowik</v>
      </c>
      <c r="C12" s="14">
        <f>IF(A12="","",IFERROR(VLOOKUP(A12,Players!$A$4:$D$200,3,FALSE),""))</f>
        <v>2</v>
      </c>
      <c r="D12" s="14" t="str">
        <f>IF(A12="","",IFERROR(VLOOKUP(A12,Players!$A$4:$D$200,4,FALSE),""))</f>
        <v>Netminder</v>
      </c>
      <c r="E12" s="14">
        <f>IF(A12="","",COUNTIFS('Player Game Stats'!$B$4:$B$500,A12,'Player Game Stats'!$D$4:$D$500,"Yes"))</f>
        <v>0</v>
      </c>
      <c r="F12" s="14">
        <f>IF(A12="","",SUMIFS('Player Game Stats'!$E$4:$E$500,'Player Game Stats'!$B$4:$B$500,A12))</f>
        <v>0</v>
      </c>
      <c r="G12" s="14">
        <f>IF(A12="","",SUMIFS('Player Game Stats'!$F$4:$F$500,'Player Game Stats'!$B$4:$B$500,A12))</f>
        <v>0</v>
      </c>
      <c r="H12" s="14">
        <f t="shared" si="0"/>
        <v>0</v>
      </c>
      <c r="I12" s="14">
        <f>IF(A12="","",SUMIFS('Player Game Stats'!$H$4:$H$500,'Player Game Stats'!$B$4:$B$500,A12))</f>
        <v>0</v>
      </c>
      <c r="J12" s="14">
        <f>IF(A12="","",SUMIFS('Player Game Stats'!$I$4:$I$500,'Player Game Stats'!$B$4:$B$500,A12))</f>
        <v>0</v>
      </c>
      <c r="K12" s="13"/>
    </row>
    <row r="13" spans="1:13">
      <c r="A13" s="14" t="str">
        <f>IF(Players!A13="","",Players!A13)</f>
        <v>P010</v>
      </c>
      <c r="B13" s="14" t="str">
        <f>IF(A13="","",IFERROR(VLOOKUP(A13,Players!$A$4:$D$200,2,FALSE),""))</f>
        <v>Nicole Jackson</v>
      </c>
      <c r="C13" s="14">
        <f>IF(A13="","",IFERROR(VLOOKUP(A13,Players!$A$4:$D$200,3,FALSE),""))</f>
        <v>86</v>
      </c>
      <c r="D13" s="14" t="str">
        <f>IF(A13="","",IFERROR(VLOOKUP(A13,Players!$A$4:$D$200,4,FALSE),""))</f>
        <v>Netminder</v>
      </c>
      <c r="E13" s="14">
        <f>IF(A13="","",COUNTIFS('Player Game Stats'!$B$4:$B$500,A13,'Player Game Stats'!$D$4:$D$500,"Yes"))</f>
        <v>0</v>
      </c>
      <c r="F13" s="14">
        <f>IF(A13="","",SUMIFS('Player Game Stats'!$E$4:$E$500,'Player Game Stats'!$B$4:$B$500,A13))</f>
        <v>0</v>
      </c>
      <c r="G13" s="14">
        <f>IF(A13="","",SUMIFS('Player Game Stats'!$F$4:$F$500,'Player Game Stats'!$B$4:$B$500,A13))</f>
        <v>0</v>
      </c>
      <c r="H13" s="14">
        <f t="shared" si="0"/>
        <v>0</v>
      </c>
      <c r="I13" s="14">
        <f>IF(A13="","",SUMIFS('Player Game Stats'!$H$4:$H$500,'Player Game Stats'!$B$4:$B$500,A13))</f>
        <v>0</v>
      </c>
      <c r="J13" s="14">
        <f>IF(A13="","",SUMIFS('Player Game Stats'!$I$4:$I$500,'Player Game Stats'!$B$4:$B$500,A13))</f>
        <v>0</v>
      </c>
      <c r="K13" s="13"/>
    </row>
    <row r="14" spans="1:13">
      <c r="A14" s="14" t="str">
        <f>IF(Players!A14="","",Players!A14)</f>
        <v>P011</v>
      </c>
      <c r="B14" s="14" t="str">
        <f>IF(A14="","",IFERROR(VLOOKUP(A14,Players!$A$4:$D$200,2,FALSE),""))</f>
        <v>Xander Robinson</v>
      </c>
      <c r="C14" s="14">
        <f>IF(A14="","",IFERROR(VLOOKUP(A14,Players!$A$4:$D$200,3,FALSE),""))</f>
        <v>14</v>
      </c>
      <c r="D14" s="14" t="str">
        <f>IF(A14="","",IFERROR(VLOOKUP(A14,Players!$A$4:$D$200,4,FALSE),""))</f>
        <v>Forward</v>
      </c>
      <c r="E14" s="14">
        <f>IF(A14="","",COUNTIFS('Player Game Stats'!$B$4:$B$500,A14,'Player Game Stats'!$D$4:$D$500,"Yes"))</f>
        <v>0</v>
      </c>
      <c r="F14" s="14">
        <f>IF(A14="","",SUMIFS('Player Game Stats'!$E$4:$E$500,'Player Game Stats'!$B$4:$B$500,A14))</f>
        <v>0</v>
      </c>
      <c r="G14" s="14">
        <f>IF(A14="","",SUMIFS('Player Game Stats'!$F$4:$F$500,'Player Game Stats'!$B$4:$B$500,A14))</f>
        <v>0</v>
      </c>
      <c r="H14" s="14">
        <f t="shared" si="0"/>
        <v>0</v>
      </c>
      <c r="I14" s="14">
        <f>IF(A14="","",SUMIFS('Player Game Stats'!$H$4:$H$500,'Player Game Stats'!$B$4:$B$500,A14))</f>
        <v>0</v>
      </c>
      <c r="J14" s="14">
        <f>IF(A14="","",SUMIFS('Player Game Stats'!$I$4:$I$500,'Player Game Stats'!$B$4:$B$500,A14))</f>
        <v>0</v>
      </c>
      <c r="K14" s="13"/>
    </row>
    <row r="15" spans="1:13">
      <c r="A15" s="14" t="str">
        <f>IF(Players!A15="","",Players!A15)</f>
        <v>P012</v>
      </c>
      <c r="B15" s="14" t="str">
        <f>IF(A15="","",IFERROR(VLOOKUP(A15,Players!$A$4:$D$200,2,FALSE),""))</f>
        <v>Joshua Blackwood</v>
      </c>
      <c r="C15" s="14">
        <f>IF(A15="","",IFERROR(VLOOKUP(A15,Players!$A$4:$D$200,3,FALSE),""))</f>
        <v>18</v>
      </c>
      <c r="D15" s="14" t="str">
        <f>IF(A15="","",IFERROR(VLOOKUP(A15,Players!$A$4:$D$200,4,FALSE),""))</f>
        <v>Forward</v>
      </c>
      <c r="E15" s="14">
        <f>IF(A15="","",COUNTIFS('Player Game Stats'!$B$4:$B$500,A15,'Player Game Stats'!$D$4:$D$500,"Yes"))</f>
        <v>0</v>
      </c>
      <c r="F15" s="14">
        <f>IF(A15="","",SUMIFS('Player Game Stats'!$E$4:$E$500,'Player Game Stats'!$B$4:$B$500,A15))</f>
        <v>0</v>
      </c>
      <c r="G15" s="14">
        <f>IF(A15="","",SUMIFS('Player Game Stats'!$F$4:$F$500,'Player Game Stats'!$B$4:$B$500,A15))</f>
        <v>0</v>
      </c>
      <c r="H15" s="14">
        <f t="shared" si="0"/>
        <v>0</v>
      </c>
      <c r="I15" s="14">
        <f>IF(A15="","",SUMIFS('Player Game Stats'!$H$4:$H$500,'Player Game Stats'!$B$4:$B$500,A15))</f>
        <v>0</v>
      </c>
      <c r="J15" s="14">
        <f>IF(A15="","",SUMIFS('Player Game Stats'!$I$4:$I$500,'Player Game Stats'!$B$4:$B$500,A15))</f>
        <v>0</v>
      </c>
      <c r="K15" s="13"/>
    </row>
    <row r="16" spans="1:13">
      <c r="A16" s="14" t="str">
        <f>IF(Players!A16="","",Players!A16)</f>
        <v>P013</v>
      </c>
      <c r="B16" s="14" t="str">
        <f>IF(A16="","",IFERROR(VLOOKUP(A16,Players!$A$4:$D$200,2,FALSE),""))</f>
        <v>Harry MacGarvery</v>
      </c>
      <c r="C16" s="14">
        <f>IF(A16="","",IFERROR(VLOOKUP(A16,Players!$A$4:$D$200,3,FALSE),""))</f>
        <v>22</v>
      </c>
      <c r="D16" s="14" t="str">
        <f>IF(A16="","",IFERROR(VLOOKUP(A16,Players!$A$4:$D$200,4,FALSE),""))</f>
        <v>Forward</v>
      </c>
      <c r="E16" s="14">
        <f>IF(A16="","",COUNTIFS('Player Game Stats'!$B$4:$B$500,A16,'Player Game Stats'!$D$4:$D$500,"Yes"))</f>
        <v>0</v>
      </c>
      <c r="F16" s="14">
        <f>IF(A16="","",SUMIFS('Player Game Stats'!$E$4:$E$500,'Player Game Stats'!$B$4:$B$500,A16))</f>
        <v>0</v>
      </c>
      <c r="G16" s="14">
        <f>IF(A16="","",SUMIFS('Player Game Stats'!$F$4:$F$500,'Player Game Stats'!$B$4:$B$500,A16))</f>
        <v>0</v>
      </c>
      <c r="H16" s="14">
        <f t="shared" si="0"/>
        <v>0</v>
      </c>
      <c r="I16" s="14">
        <f>IF(A16="","",SUMIFS('Player Game Stats'!$H$4:$H$500,'Player Game Stats'!$B$4:$B$500,A16))</f>
        <v>0</v>
      </c>
      <c r="J16" s="14">
        <f>IF(A16="","",SUMIFS('Player Game Stats'!$I$4:$I$500,'Player Game Stats'!$B$4:$B$500,A16))</f>
        <v>0</v>
      </c>
      <c r="K16" s="13"/>
    </row>
    <row r="17" spans="1:11">
      <c r="A17" s="14" t="str">
        <f>IF(Players!A17="","",Players!A17)</f>
        <v>P014</v>
      </c>
      <c r="B17" s="14" t="str">
        <f>IF(A17="","",IFERROR(VLOOKUP(A17,Players!$A$4:$D$200,2,FALSE),""))</f>
        <v>Chalie Conroy</v>
      </c>
      <c r="C17" s="14">
        <f>IF(A17="","",IFERROR(VLOOKUP(A17,Players!$A$4:$D$200,3,FALSE),""))</f>
        <v>24</v>
      </c>
      <c r="D17" s="14" t="str">
        <f>IF(A17="","",IFERROR(VLOOKUP(A17,Players!$A$4:$D$200,4,FALSE),""))</f>
        <v>Forward</v>
      </c>
      <c r="E17" s="14">
        <f>IF(A17="","",COUNTIFS('Player Game Stats'!$B$4:$B$500,A17,'Player Game Stats'!$D$4:$D$500,"Yes"))</f>
        <v>0</v>
      </c>
      <c r="F17" s="14">
        <f>IF(A17="","",SUMIFS('Player Game Stats'!$E$4:$E$500,'Player Game Stats'!$B$4:$B$500,A17))</f>
        <v>0</v>
      </c>
      <c r="G17" s="14">
        <f>IF(A17="","",SUMIFS('Player Game Stats'!$F$4:$F$500,'Player Game Stats'!$B$4:$B$500,A17))</f>
        <v>0</v>
      </c>
      <c r="H17" s="14">
        <f t="shared" si="0"/>
        <v>0</v>
      </c>
      <c r="I17" s="14">
        <f>IF(A17="","",SUMIFS('Player Game Stats'!$H$4:$H$500,'Player Game Stats'!$B$4:$B$500,A17))</f>
        <v>0</v>
      </c>
      <c r="J17" s="14">
        <f>IF(A17="","",SUMIFS('Player Game Stats'!$I$4:$I$500,'Player Game Stats'!$B$4:$B$500,A17))</f>
        <v>0</v>
      </c>
      <c r="K17" s="13"/>
    </row>
    <row r="18" spans="1:11">
      <c r="A18" s="14" t="str">
        <f>IF(Players!A18="","",Players!A18)</f>
        <v>P015</v>
      </c>
      <c r="B18" s="14" t="str">
        <f>IF(A18="","",IFERROR(VLOOKUP(A18,Players!$A$4:$D$200,2,FALSE),""))</f>
        <v>Oliver Broyd</v>
      </c>
      <c r="C18" s="14">
        <f>IF(A18="","",IFERROR(VLOOKUP(A18,Players!$A$4:$D$200,3,FALSE),""))</f>
        <v>33</v>
      </c>
      <c r="D18" s="14" t="str">
        <f>IF(A18="","",IFERROR(VLOOKUP(A18,Players!$A$4:$D$200,4,FALSE),""))</f>
        <v>Forward</v>
      </c>
      <c r="E18" s="14">
        <f>IF(A18="","",COUNTIFS('Player Game Stats'!$B$4:$B$500,A18,'Player Game Stats'!$D$4:$D$500,"Yes"))</f>
        <v>0</v>
      </c>
      <c r="F18" s="14">
        <f>IF(A18="","",SUMIFS('Player Game Stats'!$E$4:$E$500,'Player Game Stats'!$B$4:$B$500,A18))</f>
        <v>0</v>
      </c>
      <c r="G18" s="14">
        <f>IF(A18="","",SUMIFS('Player Game Stats'!$F$4:$F$500,'Player Game Stats'!$B$4:$B$500,A18))</f>
        <v>0</v>
      </c>
      <c r="H18" s="14">
        <f t="shared" si="0"/>
        <v>0</v>
      </c>
      <c r="I18" s="14">
        <f>IF(A18="","",SUMIFS('Player Game Stats'!$H$4:$H$500,'Player Game Stats'!$B$4:$B$500,A18))</f>
        <v>0</v>
      </c>
      <c r="J18" s="14">
        <f>IF(A18="","",SUMIFS('Player Game Stats'!$I$4:$I$500,'Player Game Stats'!$B$4:$B$500,A18))</f>
        <v>0</v>
      </c>
      <c r="K18" s="13"/>
    </row>
    <row r="19" spans="1:11">
      <c r="A19" s="14" t="str">
        <f>IF(Players!A19="","",Players!A19)</f>
        <v>P016</v>
      </c>
      <c r="B19" s="14" t="str">
        <f>IF(A19="","",IFERROR(VLOOKUP(A19,Players!$A$4:$D$200,2,FALSE),""))</f>
        <v>Connor Mellett</v>
      </c>
      <c r="C19" s="14">
        <f>IF(A19="","",IFERROR(VLOOKUP(A19,Players!$A$4:$D$200,3,FALSE),""))</f>
        <v>37</v>
      </c>
      <c r="D19" s="14" t="str">
        <f>IF(A19="","",IFERROR(VLOOKUP(A19,Players!$A$4:$D$200,4,FALSE),""))</f>
        <v>Forward</v>
      </c>
      <c r="E19" s="14">
        <f>IF(A19="","",COUNTIFS('Player Game Stats'!$B$4:$B$500,A19,'Player Game Stats'!$D$4:$D$500,"Yes"))</f>
        <v>0</v>
      </c>
      <c r="F19" s="14">
        <f>IF(A19="","",SUMIFS('Player Game Stats'!$E$4:$E$500,'Player Game Stats'!$B$4:$B$500,A19))</f>
        <v>0</v>
      </c>
      <c r="G19" s="14">
        <f>IF(A19="","",SUMIFS('Player Game Stats'!$F$4:$F$500,'Player Game Stats'!$B$4:$B$500,A19))</f>
        <v>0</v>
      </c>
      <c r="H19" s="14">
        <f t="shared" si="0"/>
        <v>0</v>
      </c>
      <c r="I19" s="14">
        <f>IF(A19="","",SUMIFS('Player Game Stats'!$H$4:$H$500,'Player Game Stats'!$B$4:$B$500,A19))</f>
        <v>0</v>
      </c>
      <c r="J19" s="14">
        <f>IF(A19="","",SUMIFS('Player Game Stats'!$I$4:$I$500,'Player Game Stats'!$B$4:$B$500,A19))</f>
        <v>0</v>
      </c>
      <c r="K19" s="13"/>
    </row>
    <row r="20" spans="1:11">
      <c r="A20" s="14" t="str">
        <f>IF(Players!A20="","",Players!A20)</f>
        <v>P017</v>
      </c>
      <c r="B20" s="14" t="str">
        <f>IF(A20="","",IFERROR(VLOOKUP(A20,Players!$A$4:$D$200,2,FALSE),""))</f>
        <v>Hayden Hagger</v>
      </c>
      <c r="C20" s="14">
        <f>IF(A20="","",IFERROR(VLOOKUP(A20,Players!$A$4:$D$200,3,FALSE),""))</f>
        <v>45</v>
      </c>
      <c r="D20" s="14" t="str">
        <f>IF(A20="","",IFERROR(VLOOKUP(A20,Players!$A$4:$D$200,4,FALSE),""))</f>
        <v>Forward</v>
      </c>
      <c r="E20" s="14">
        <f>IF(A20="","",COUNTIFS('Player Game Stats'!$B$4:$B$500,A20,'Player Game Stats'!$D$4:$D$500,"Yes"))</f>
        <v>0</v>
      </c>
      <c r="F20" s="14">
        <f>IF(A20="","",SUMIFS('Player Game Stats'!$E$4:$E$500,'Player Game Stats'!$B$4:$B$500,A20))</f>
        <v>0</v>
      </c>
      <c r="G20" s="14">
        <f>IF(A20="","",SUMIFS('Player Game Stats'!$F$4:$F$500,'Player Game Stats'!$B$4:$B$500,A20))</f>
        <v>0</v>
      </c>
      <c r="H20" s="14">
        <f t="shared" si="0"/>
        <v>0</v>
      </c>
      <c r="I20" s="14">
        <f>IF(A20="","",SUMIFS('Player Game Stats'!$H$4:$H$500,'Player Game Stats'!$B$4:$B$500,A20))</f>
        <v>0</v>
      </c>
      <c r="J20" s="14">
        <f>IF(A20="","",SUMIFS('Player Game Stats'!$I$4:$I$500,'Player Game Stats'!$B$4:$B$500,A20))</f>
        <v>0</v>
      </c>
      <c r="K20" s="13"/>
    </row>
    <row r="21" spans="1:11">
      <c r="A21" s="14" t="str">
        <f>IF(Players!A21="","",Players!A21)</f>
        <v>P018</v>
      </c>
      <c r="B21" s="14" t="str">
        <f>IF(A21="","",IFERROR(VLOOKUP(A21,Players!$A$4:$D$200,2,FALSE),""))</f>
        <v>Sam Purcell</v>
      </c>
      <c r="C21" s="14">
        <f>IF(A21="","",IFERROR(VLOOKUP(A21,Players!$A$4:$D$200,3,FALSE),""))</f>
        <v>64</v>
      </c>
      <c r="D21" s="14" t="str">
        <f>IF(A21="","",IFERROR(VLOOKUP(A21,Players!$A$4:$D$200,4,FALSE),""))</f>
        <v>Forward</v>
      </c>
      <c r="E21" s="14">
        <f>IF(A21="","",COUNTIFS('Player Game Stats'!$B$4:$B$500,A21,'Player Game Stats'!$D$4:$D$500,"Yes"))</f>
        <v>0</v>
      </c>
      <c r="F21" s="14">
        <f>IF(A21="","",SUMIFS('Player Game Stats'!$E$4:$E$500,'Player Game Stats'!$B$4:$B$500,A21))</f>
        <v>0</v>
      </c>
      <c r="G21" s="14">
        <f>IF(A21="","",SUMIFS('Player Game Stats'!$F$4:$F$500,'Player Game Stats'!$B$4:$B$500,A21))</f>
        <v>0</v>
      </c>
      <c r="H21" s="14">
        <f t="shared" si="0"/>
        <v>0</v>
      </c>
      <c r="I21" s="14">
        <f>IF(A21="","",SUMIFS('Player Game Stats'!$H$4:$H$500,'Player Game Stats'!$B$4:$B$500,A21))</f>
        <v>0</v>
      </c>
      <c r="J21" s="14">
        <f>IF(A21="","",SUMIFS('Player Game Stats'!$I$4:$I$500,'Player Game Stats'!$B$4:$B$500,A21))</f>
        <v>0</v>
      </c>
      <c r="K21" s="13"/>
    </row>
    <row r="22" spans="1:11">
      <c r="A22" s="14" t="str">
        <f>IF(Players!A22="","",Players!A22)</f>
        <v>P019</v>
      </c>
      <c r="B22" s="14" t="str">
        <f>IF(A22="","",IFERROR(VLOOKUP(A22,Players!$A$4:$D$200,2,FALSE),""))</f>
        <v>Samuel Rickard</v>
      </c>
      <c r="C22" s="14">
        <f>IF(A22="","",IFERROR(VLOOKUP(A22,Players!$A$4:$D$200,3,FALSE),""))</f>
        <v>65</v>
      </c>
      <c r="D22" s="14" t="str">
        <f>IF(A22="","",IFERROR(VLOOKUP(A22,Players!$A$4:$D$200,4,FALSE),""))</f>
        <v>Forward</v>
      </c>
      <c r="E22" s="14">
        <f>IF(A22="","",COUNTIFS('Player Game Stats'!$B$4:$B$500,A22,'Player Game Stats'!$D$4:$D$500,"Yes"))</f>
        <v>0</v>
      </c>
      <c r="F22" s="14">
        <f>IF(A22="","",SUMIFS('Player Game Stats'!$E$4:$E$500,'Player Game Stats'!$B$4:$B$500,A22))</f>
        <v>0</v>
      </c>
      <c r="G22" s="14">
        <f>IF(A22="","",SUMIFS('Player Game Stats'!$F$4:$F$500,'Player Game Stats'!$B$4:$B$500,A22))</f>
        <v>0</v>
      </c>
      <c r="H22" s="14">
        <f t="shared" si="0"/>
        <v>0</v>
      </c>
      <c r="I22" s="14">
        <f>IF(A22="","",SUMIFS('Player Game Stats'!$H$4:$H$500,'Player Game Stats'!$B$4:$B$500,A22))</f>
        <v>0</v>
      </c>
      <c r="J22" s="14">
        <f>IF(A22="","",SUMIFS('Player Game Stats'!$I$4:$I$500,'Player Game Stats'!$B$4:$B$500,A22))</f>
        <v>0</v>
      </c>
      <c r="K22" s="13"/>
    </row>
    <row r="23" spans="1:11">
      <c r="A23" s="14" t="str">
        <f>IF(Players!A23="","",Players!A23)</f>
        <v>P020</v>
      </c>
      <c r="B23" s="14" t="str">
        <f>IF(A23="","",IFERROR(VLOOKUP(A23,Players!$A$4:$D$200,2,FALSE),""))</f>
        <v>Oscar Lee</v>
      </c>
      <c r="C23" s="14">
        <f>IF(A23="","",IFERROR(VLOOKUP(A23,Players!$A$4:$D$200,3,FALSE),""))</f>
        <v>68</v>
      </c>
      <c r="D23" s="14" t="str">
        <f>IF(A23="","",IFERROR(VLOOKUP(A23,Players!$A$4:$D$200,4,FALSE),""))</f>
        <v>Forward</v>
      </c>
      <c r="E23" s="14">
        <f>IF(A23="","",COUNTIFS('Player Game Stats'!$B$4:$B$500,A23,'Player Game Stats'!$D$4:$D$500,"Yes"))</f>
        <v>0</v>
      </c>
      <c r="F23" s="14">
        <f>IF(A23="","",SUMIFS('Player Game Stats'!$E$4:$E$500,'Player Game Stats'!$B$4:$B$500,A23))</f>
        <v>0</v>
      </c>
      <c r="G23" s="14">
        <f>IF(A23="","",SUMIFS('Player Game Stats'!$F$4:$F$500,'Player Game Stats'!$B$4:$B$500,A23))</f>
        <v>0</v>
      </c>
      <c r="H23" s="14">
        <f t="shared" si="0"/>
        <v>0</v>
      </c>
      <c r="I23" s="14">
        <f>IF(A23="","",SUMIFS('Player Game Stats'!$H$4:$H$500,'Player Game Stats'!$B$4:$B$500,A23))</f>
        <v>0</v>
      </c>
      <c r="J23" s="14">
        <f>IF(A23="","",SUMIFS('Player Game Stats'!$I$4:$I$500,'Player Game Stats'!$B$4:$B$500,A23))</f>
        <v>0</v>
      </c>
      <c r="K23" s="13"/>
    </row>
    <row r="24" spans="1:11">
      <c r="A24" s="14" t="str">
        <f>IF(Players!A24="","",Players!A24)</f>
        <v>P021</v>
      </c>
      <c r="B24" s="14" t="str">
        <f>IF(A24="","",IFERROR(VLOOKUP(A24,Players!$A$4:$D$200,2,FALSE),""))</f>
        <v>Jacob Maidment</v>
      </c>
      <c r="C24" s="14">
        <f>IF(A24="","",IFERROR(VLOOKUP(A24,Players!$A$4:$D$200,3,FALSE),""))</f>
        <v>89</v>
      </c>
      <c r="D24" s="14" t="str">
        <f>IF(A24="","",IFERROR(VLOOKUP(A24,Players!$A$4:$D$200,4,FALSE),""))</f>
        <v>Forward</v>
      </c>
      <c r="E24" s="14">
        <f>IF(A24="","",COUNTIFS('Player Game Stats'!$B$4:$B$500,A24,'Player Game Stats'!$D$4:$D$500,"Yes"))</f>
        <v>0</v>
      </c>
      <c r="F24" s="14">
        <f>IF(A24="","",SUMIFS('Player Game Stats'!$E$4:$E$500,'Player Game Stats'!$B$4:$B$500,A24))</f>
        <v>0</v>
      </c>
      <c r="G24" s="14">
        <f>IF(A24="","",SUMIFS('Player Game Stats'!$F$4:$F$500,'Player Game Stats'!$B$4:$B$500,A24))</f>
        <v>0</v>
      </c>
      <c r="H24" s="14">
        <f t="shared" si="0"/>
        <v>0</v>
      </c>
      <c r="I24" s="14">
        <f>IF(A24="","",SUMIFS('Player Game Stats'!$H$4:$H$500,'Player Game Stats'!$B$4:$B$500,A24))</f>
        <v>0</v>
      </c>
      <c r="J24" s="14">
        <f>IF(A24="","",SUMIFS('Player Game Stats'!$I$4:$I$500,'Player Game Stats'!$B$4:$B$500,A24))</f>
        <v>0</v>
      </c>
      <c r="K24" s="13"/>
    </row>
    <row r="25" spans="1:11">
      <c r="A25" s="14" t="str">
        <f>IF(Players!A25="","",Players!A25)</f>
        <v>P022</v>
      </c>
      <c r="B25" s="14" t="str">
        <f>IF(A25="","",IFERROR(VLOOKUP(A25,Players!$A$4:$D$200,2,FALSE),""))</f>
        <v>Corey Taylor</v>
      </c>
      <c r="C25" s="14">
        <f>IF(A25="","",IFERROR(VLOOKUP(A25,Players!$A$4:$D$200,3,FALSE),""))</f>
        <v>16</v>
      </c>
      <c r="D25" s="14" t="str">
        <f>IF(A25="","",IFERROR(VLOOKUP(A25,Players!$A$4:$D$200,4,FALSE),""))</f>
        <v>Defence</v>
      </c>
      <c r="E25" s="14">
        <f>IF(A25="","",COUNTIFS('Player Game Stats'!$B$4:$B$500,A25,'Player Game Stats'!$D$4:$D$500,"Yes"))</f>
        <v>0</v>
      </c>
      <c r="F25" s="14">
        <f>IF(A25="","",SUMIFS('Player Game Stats'!$E$4:$E$500,'Player Game Stats'!$B$4:$B$500,A25))</f>
        <v>0</v>
      </c>
      <c r="G25" s="14">
        <f>IF(A25="","",SUMIFS('Player Game Stats'!$F$4:$F$500,'Player Game Stats'!$B$4:$B$500,A25))</f>
        <v>0</v>
      </c>
      <c r="H25" s="14">
        <f t="shared" si="0"/>
        <v>0</v>
      </c>
      <c r="I25" s="14">
        <f>IF(A25="","",SUMIFS('Player Game Stats'!$H$4:$H$500,'Player Game Stats'!$B$4:$B$500,A25))</f>
        <v>0</v>
      </c>
      <c r="J25" s="14">
        <f>IF(A25="","",SUMIFS('Player Game Stats'!$I$4:$I$500,'Player Game Stats'!$B$4:$B$500,A25))</f>
        <v>0</v>
      </c>
      <c r="K25" s="13"/>
    </row>
    <row r="26" spans="1:11">
      <c r="A26" s="14" t="str">
        <f>IF(Players!A26="","",Players!A26)</f>
        <v>P023</v>
      </c>
      <c r="B26" s="14" t="str">
        <f>IF(A26="","",IFERROR(VLOOKUP(A26,Players!$A$4:$D$200,2,FALSE),""))</f>
        <v>James Bryan</v>
      </c>
      <c r="C26" s="14">
        <f>IF(A26="","",IFERROR(VLOOKUP(A26,Players!$A$4:$D$200,3,FALSE),""))</f>
        <v>23</v>
      </c>
      <c r="D26" s="14" t="str">
        <f>IF(A26="","",IFERROR(VLOOKUP(A26,Players!$A$4:$D$200,4,FALSE),""))</f>
        <v>Defence</v>
      </c>
      <c r="E26" s="14">
        <f>IF(A26="","",COUNTIFS('Player Game Stats'!$B$4:$B$500,A26,'Player Game Stats'!$D$4:$D$500,"Yes"))</f>
        <v>0</v>
      </c>
      <c r="F26" s="14">
        <f>IF(A26="","",SUMIFS('Player Game Stats'!$E$4:$E$500,'Player Game Stats'!$B$4:$B$500,A26))</f>
        <v>0</v>
      </c>
      <c r="G26" s="14">
        <f>IF(A26="","",SUMIFS('Player Game Stats'!$F$4:$F$500,'Player Game Stats'!$B$4:$B$500,A26))</f>
        <v>0</v>
      </c>
      <c r="H26" s="14">
        <f t="shared" si="0"/>
        <v>0</v>
      </c>
      <c r="I26" s="14">
        <f>IF(A26="","",SUMIFS('Player Game Stats'!$H$4:$H$500,'Player Game Stats'!$B$4:$B$500,A26))</f>
        <v>0</v>
      </c>
      <c r="J26" s="14">
        <f>IF(A26="","",SUMIFS('Player Game Stats'!$I$4:$I$500,'Player Game Stats'!$B$4:$B$500,A26))</f>
        <v>0</v>
      </c>
      <c r="K26" s="13"/>
    </row>
    <row r="27" spans="1:11">
      <c r="A27" s="14" t="str">
        <f>IF(Players!A27="","",Players!A27)</f>
        <v>P024</v>
      </c>
      <c r="B27" s="14" t="str">
        <f>IF(A27="","",IFERROR(VLOOKUP(A27,Players!$A$4:$D$200,2,FALSE),""))</f>
        <v>Josh Furnell</v>
      </c>
      <c r="C27" s="14">
        <f>IF(A27="","",IFERROR(VLOOKUP(A27,Players!$A$4:$D$200,3,FALSE),""))</f>
        <v>33</v>
      </c>
      <c r="D27" s="14" t="str">
        <f>IF(A27="","",IFERROR(VLOOKUP(A27,Players!$A$4:$D$200,4,FALSE),""))</f>
        <v>Defence</v>
      </c>
      <c r="E27" s="14">
        <f>IF(A27="","",COUNTIFS('Player Game Stats'!$B$4:$B$500,A27,'Player Game Stats'!$D$4:$D$500,"Yes"))</f>
        <v>0</v>
      </c>
      <c r="F27" s="14">
        <f>IF(A27="","",SUMIFS('Player Game Stats'!$E$4:$E$500,'Player Game Stats'!$B$4:$B$500,A27))</f>
        <v>0</v>
      </c>
      <c r="G27" s="14">
        <f>IF(A27="","",SUMIFS('Player Game Stats'!$F$4:$F$500,'Player Game Stats'!$B$4:$B$500,A27))</f>
        <v>0</v>
      </c>
      <c r="H27" s="14">
        <f t="shared" si="0"/>
        <v>0</v>
      </c>
      <c r="I27" s="14">
        <f>IF(A27="","",SUMIFS('Player Game Stats'!$H$4:$H$500,'Player Game Stats'!$B$4:$B$500,A27))</f>
        <v>0</v>
      </c>
      <c r="J27" s="14">
        <f>IF(A27="","",SUMIFS('Player Game Stats'!$I$4:$I$500,'Player Game Stats'!$B$4:$B$500,A27))</f>
        <v>0</v>
      </c>
      <c r="K27" s="13"/>
    </row>
    <row r="28" spans="1:11">
      <c r="A28" s="14" t="str">
        <f>IF(Players!A28="","",Players!A28)</f>
        <v>P025</v>
      </c>
      <c r="B28" s="14" t="str">
        <f>IF(A28="","",IFERROR(VLOOKUP(A28,Players!$A$4:$D$200,2,FALSE),""))</f>
        <v>Josh Hickman</v>
      </c>
      <c r="C28" s="14">
        <f>IF(A28="","",IFERROR(VLOOKUP(A28,Players!$A$4:$D$200,3,FALSE),""))</f>
        <v>40</v>
      </c>
      <c r="D28" s="14" t="str">
        <f>IF(A28="","",IFERROR(VLOOKUP(A28,Players!$A$4:$D$200,4,FALSE),""))</f>
        <v>Defence</v>
      </c>
      <c r="E28" s="14">
        <f>IF(A28="","",COUNTIFS('Player Game Stats'!$B$4:$B$500,A28,'Player Game Stats'!$D$4:$D$500,"Yes"))</f>
        <v>0</v>
      </c>
      <c r="F28" s="14">
        <f>IF(A28="","",SUMIFS('Player Game Stats'!$E$4:$E$500,'Player Game Stats'!$B$4:$B$500,A28))</f>
        <v>0</v>
      </c>
      <c r="G28" s="14">
        <f>IF(A28="","",SUMIFS('Player Game Stats'!$F$4:$F$500,'Player Game Stats'!$B$4:$B$500,A28))</f>
        <v>0</v>
      </c>
      <c r="H28" s="14">
        <f t="shared" si="0"/>
        <v>0</v>
      </c>
      <c r="I28" s="14">
        <f>IF(A28="","",SUMIFS('Player Game Stats'!$H$4:$H$500,'Player Game Stats'!$B$4:$B$500,A28))</f>
        <v>0</v>
      </c>
      <c r="J28" s="14">
        <f>IF(A28="","",SUMIFS('Player Game Stats'!$I$4:$I$500,'Player Game Stats'!$B$4:$B$500,A28))</f>
        <v>0</v>
      </c>
      <c r="K28" s="13"/>
    </row>
    <row r="29" spans="1:11">
      <c r="A29" s="14" t="str">
        <f>IF(Players!A29="","",Players!A29)</f>
        <v>P026</v>
      </c>
      <c r="B29" s="14" t="str">
        <f>IF(A29="","",IFERROR(VLOOKUP(A29,Players!$A$4:$D$200,2,FALSE),""))</f>
        <v>Ryan Wonfor</v>
      </c>
      <c r="C29" s="14">
        <f>IF(A29="","",IFERROR(VLOOKUP(A29,Players!$A$4:$D$200,3,FALSE),""))</f>
        <v>77</v>
      </c>
      <c r="D29" s="14" t="str">
        <f>IF(A29="","",IFERROR(VLOOKUP(A29,Players!$A$4:$D$200,4,FALSE),""))</f>
        <v>Defence</v>
      </c>
      <c r="E29" s="14">
        <f>IF(A29="","",COUNTIFS('Player Game Stats'!$B$4:$B$500,A29,'Player Game Stats'!$D$4:$D$500,"Yes"))</f>
        <v>0</v>
      </c>
      <c r="F29" s="14">
        <f>IF(A29="","",SUMIFS('Player Game Stats'!$E$4:$E$500,'Player Game Stats'!$B$4:$B$500,A29))</f>
        <v>0</v>
      </c>
      <c r="G29" s="14">
        <f>IF(A29="","",SUMIFS('Player Game Stats'!$F$4:$F$500,'Player Game Stats'!$B$4:$B$500,A29))</f>
        <v>0</v>
      </c>
      <c r="H29" s="14">
        <f t="shared" si="0"/>
        <v>0</v>
      </c>
      <c r="I29" s="14">
        <f>IF(A29="","",SUMIFS('Player Game Stats'!$H$4:$H$500,'Player Game Stats'!$B$4:$B$500,A29))</f>
        <v>0</v>
      </c>
      <c r="J29" s="14">
        <f>IF(A29="","",SUMIFS('Player Game Stats'!$I$4:$I$500,'Player Game Stats'!$B$4:$B$500,A29))</f>
        <v>0</v>
      </c>
      <c r="K29" s="13"/>
    </row>
    <row r="30" spans="1:11">
      <c r="A30" s="20" t="str">
        <f>IF(Players!A30="","",Players!A30)</f>
        <v>P027</v>
      </c>
      <c r="B30" s="20" t="str">
        <f>IF(A30="","",IFERROR(VLOOKUP(A30,Players!$A$4:$D$200,2,FALSE),""))</f>
        <v>Charles Coney</v>
      </c>
      <c r="C30" s="20">
        <f>IF(A30="","",IFERROR(VLOOKUP(A30,Players!$A$4:$D$200,3,FALSE),""))</f>
        <v>88</v>
      </c>
      <c r="D30" s="20" t="str">
        <f>IF(A30="","",IFERROR(VLOOKUP(A30,Players!$A$4:$D$200,4,FALSE),""))</f>
        <v>Defence</v>
      </c>
      <c r="E30" s="20">
        <f>IF(A30="","",COUNTIFS('Player Game Stats'!$B$4:$B$500,A30,'Player Game Stats'!$D$4:$D$500,"Yes"))</f>
        <v>0</v>
      </c>
      <c r="F30" s="20">
        <f>IF(A30="","",SUMIFS('Player Game Stats'!$E$4:$E$500,'Player Game Stats'!$B$4:$B$500,A30))</f>
        <v>0</v>
      </c>
      <c r="G30" s="20">
        <f>IF(A30="","",SUMIFS('Player Game Stats'!$F$4:$F$500,'Player Game Stats'!$B$4:$B$500,A30))</f>
        <v>0</v>
      </c>
      <c r="H30" s="20">
        <f t="shared" si="0"/>
        <v>0</v>
      </c>
      <c r="I30" s="20">
        <f>IF(A30="","",SUMIFS('Player Game Stats'!$H$4:$H$500,'Player Game Stats'!$B$4:$B$500,A30))</f>
        <v>0</v>
      </c>
      <c r="J30" s="20">
        <f>IF(A30="","",SUMIFS('Player Game Stats'!$I$4:$I$500,'Player Game Stats'!$B$4:$B$500,A30))</f>
        <v>0</v>
      </c>
      <c r="K30" s="13"/>
    </row>
    <row r="31" spans="1:11">
      <c r="A31" s="14" t="str">
        <f>IF(Players!A31="","",Players!A31)</f>
        <v>P028</v>
      </c>
      <c r="B31" s="14" t="str">
        <f>IF(A31="","",IFERROR(VLOOKUP(A31,Players!$A$4:$D$200,2,FALSE),""))</f>
        <v>Will Nowik</v>
      </c>
      <c r="C31" s="14">
        <f>IF(A31="","",IFERROR(VLOOKUP(A31,Players!$A$4:$D$200,3,FALSE),""))</f>
        <v>98</v>
      </c>
      <c r="D31" s="14" t="str">
        <f>IF(A31="","",IFERROR(VLOOKUP(A31,Players!$A$4:$D$200,4,FALSE),""))</f>
        <v>Forward</v>
      </c>
      <c r="E31" s="14">
        <f>IF(A31="","",COUNTIFS('Player Game Stats'!$B$4:$B$500,A31,'Player Game Stats'!$D$4:$D$500,"Yes"))</f>
        <v>0</v>
      </c>
      <c r="F31" s="14">
        <f>IF(A31="","",SUMIFS('Player Game Stats'!$E$4:$E$500,'Player Game Stats'!$B$4:$B$500,A31))</f>
        <v>0</v>
      </c>
      <c r="G31" s="14">
        <f>IF(A31="","",SUMIFS('Player Game Stats'!$F$4:$F$500,'Player Game Stats'!$B$4:$B$500,A31))</f>
        <v>0</v>
      </c>
      <c r="H31" s="14">
        <f t="shared" si="0"/>
        <v>0</v>
      </c>
      <c r="I31" s="14">
        <f>IF(A31="","",SUMIFS('Player Game Stats'!$H$4:$H$500,'Player Game Stats'!$B$4:$B$500,A31))</f>
        <v>0</v>
      </c>
      <c r="J31" s="14">
        <f>IF(A31="","",SUMIFS('Player Game Stats'!$I$4:$I$500,'Player Game Stats'!$B$4:$B$500,A31))</f>
        <v>0</v>
      </c>
      <c r="K31" s="13"/>
    </row>
    <row r="32" spans="1:11">
      <c r="A32" s="14" t="str">
        <f>IF(Players!A32="","",Players!A32)</f>
        <v>P029</v>
      </c>
      <c r="B32" s="14" t="str">
        <f>IF(A32="","",IFERROR(VLOOKUP(A32,Players!$A$4:$D$200,2,FALSE),""))</f>
        <v>James Moeller</v>
      </c>
      <c r="C32" s="14">
        <f>IF(A32="","",IFERROR(VLOOKUP(A32,Players!$A$4:$D$200,3,FALSE),""))</f>
        <v>81</v>
      </c>
      <c r="D32" s="14" t="str">
        <f>IF(A32="","",IFERROR(VLOOKUP(A32,Players!$A$4:$D$200,4,FALSE),""))</f>
        <v>Defence</v>
      </c>
      <c r="E32" s="14">
        <f>IF(A32="","",COUNTIFS('Player Game Stats'!$B$4:$B$500,A32,'Player Game Stats'!$D$4:$D$500,"Yes"))</f>
        <v>0</v>
      </c>
      <c r="F32" s="14">
        <f>IF(A32="","",SUMIFS('Player Game Stats'!$E$4:$E$500,'Player Game Stats'!$B$4:$B$500,A32))</f>
        <v>0</v>
      </c>
      <c r="G32" s="14">
        <f>IF(A32="","",SUMIFS('Player Game Stats'!$F$4:$F$500,'Player Game Stats'!$B$4:$B$500,A32))</f>
        <v>0</v>
      </c>
      <c r="H32" s="14">
        <f t="shared" si="0"/>
        <v>0</v>
      </c>
      <c r="I32" s="14">
        <f>IF(A32="","",SUMIFS('Player Game Stats'!$H$4:$H$500,'Player Game Stats'!$B$4:$B$500,A32))</f>
        <v>0</v>
      </c>
      <c r="J32" s="14">
        <f>IF(A32="","",SUMIFS('Player Game Stats'!$I$4:$I$500,'Player Game Stats'!$B$4:$B$500,A32))</f>
        <v>0</v>
      </c>
      <c r="K32" s="13"/>
    </row>
    <row r="33" spans="1:11">
      <c r="A33" s="14" t="str">
        <f>IF(Players!A33="","",Players!A33)</f>
        <v>P030</v>
      </c>
      <c r="B33" s="14" t="str">
        <f>IF(A33="","",IFERROR(VLOOKUP(A33,Players!$A$4:$D$200,2,FALSE),""))</f>
        <v>Cass  McCormack</v>
      </c>
      <c r="C33" s="14">
        <f>IF(A33="","",IFERROR(VLOOKUP(A33,Players!$A$4:$D$200,3,FALSE),""))</f>
        <v>0</v>
      </c>
      <c r="D33" s="14" t="str">
        <f>IF(A33="","",IFERROR(VLOOKUP(A33,Players!$A$4:$D$200,4,FALSE),""))</f>
        <v>Forward</v>
      </c>
      <c r="E33" s="14">
        <f>IF(A33="","",COUNTIFS('Player Game Stats'!$B$4:$B$500,A33,'Player Game Stats'!$D$4:$D$500,"Yes"))</f>
        <v>0</v>
      </c>
      <c r="F33" s="14">
        <f>IF(A33="","",SUMIFS('Player Game Stats'!$E$4:$E$500,'Player Game Stats'!$B$4:$B$500,A33))</f>
        <v>0</v>
      </c>
      <c r="G33" s="14">
        <f>IF(A33="","",SUMIFS('Player Game Stats'!$F$4:$F$500,'Player Game Stats'!$B$4:$B$500,A33))</f>
        <v>0</v>
      </c>
      <c r="H33" s="14">
        <f t="shared" si="0"/>
        <v>0</v>
      </c>
      <c r="I33" s="14">
        <f>IF(A33="","",SUMIFS('Player Game Stats'!$H$4:$H$500,'Player Game Stats'!$B$4:$B$500,A33))</f>
        <v>0</v>
      </c>
      <c r="J33" s="14">
        <f>IF(A33="","",SUMIFS('Player Game Stats'!$I$4:$I$500,'Player Game Stats'!$B$4:$B$500,A33))</f>
        <v>0</v>
      </c>
      <c r="K33" s="13"/>
    </row>
    <row r="34" spans="1:11">
      <c r="A34" s="13" t="str">
        <f>IF(Players!A34="","",Players!A34)</f>
        <v/>
      </c>
      <c r="B34" s="13" t="str">
        <f>IF(A34="","",IFERROR(VLOOKUP(A34,Players!$A$4:$D$200,2,FALSE),""))</f>
        <v/>
      </c>
      <c r="C34" s="13" t="str">
        <f>IF(A34="","",IFERROR(VLOOKUP(A34,Players!$A$4:$D$200,3,FALSE),""))</f>
        <v/>
      </c>
      <c r="D34" s="13" t="str">
        <f>IF(A34="","",IFERROR(VLOOKUP(A34,Players!$A$4:$D$200,4,FALSE),""))</f>
        <v/>
      </c>
      <c r="E34" s="13" t="str">
        <f>IF(A34="","",COUNTIFS('Player Game Stats'!$B$4:$B$500,A34,'Player Game Stats'!$D$4:$D$500,"Yes"))</f>
        <v/>
      </c>
      <c r="F34" s="13" t="str">
        <f>IF(A34="","",SUMIFS('Player Game Stats'!$E$4:$E$500,'Player Game Stats'!$B$4:$B$500,A34))</f>
        <v/>
      </c>
      <c r="G34" s="13" t="str">
        <f>IF(A34="","",SUMIFS('Player Game Stats'!$F$4:$F$500,'Player Game Stats'!$B$4:$B$500,A34))</f>
        <v/>
      </c>
      <c r="H34" s="13" t="str">
        <f t="shared" si="0"/>
        <v/>
      </c>
      <c r="I34" s="13" t="str">
        <f>IF(A34="","",SUMIFS('Player Game Stats'!$H$4:$H$500,'Player Game Stats'!$B$4:$B$500,A34))</f>
        <v/>
      </c>
      <c r="J34" s="13" t="str">
        <f>IF(A34="","",SUMIFS('Player Game Stats'!$I$4:$I$500,'Player Game Stats'!$B$4:$B$500,A34))</f>
        <v/>
      </c>
    </row>
    <row r="35" spans="1:11">
      <c r="A35" t="str">
        <f>IF(Players!A35="","",Players!A35)</f>
        <v/>
      </c>
      <c r="B35" t="str">
        <f>IF(A35="","",IFERROR(VLOOKUP(A35,Players!$A$4:$D$200,2,FALSE),""))</f>
        <v/>
      </c>
      <c r="C35" t="str">
        <f>IF(A35="","",IFERROR(VLOOKUP(A35,Players!$A$4:$D$200,3,FALSE),""))</f>
        <v/>
      </c>
      <c r="D35" t="str">
        <f>IF(A35="","",IFERROR(VLOOKUP(A35,Players!$A$4:$D$200,4,FALSE),""))</f>
        <v/>
      </c>
      <c r="E35" t="str">
        <f>IF(A35="","",COUNTIFS('Player Game Stats'!$B$4:$B$500,A35,'Player Game Stats'!$D$4:$D$500,"Yes"))</f>
        <v/>
      </c>
      <c r="F35" t="str">
        <f>IF(A35="","",SUMIFS('Player Game Stats'!$E$4:$E$500,'Player Game Stats'!$B$4:$B$500,A35))</f>
        <v/>
      </c>
      <c r="G35" t="str">
        <f>IF(A35="","",SUMIFS('Player Game Stats'!$F$4:$F$500,'Player Game Stats'!$B$4:$B$500,A35))</f>
        <v/>
      </c>
      <c r="H35" t="str">
        <f t="shared" si="0"/>
        <v/>
      </c>
      <c r="I35" t="str">
        <f>IF(A35="","",SUMIFS('Player Game Stats'!$H$4:$H$500,'Player Game Stats'!$B$4:$B$500,A35))</f>
        <v/>
      </c>
      <c r="J35" t="str">
        <f>IF(A35="","",SUMIFS('Player Game Stats'!$I$4:$I$500,'Player Game Stats'!$B$4:$B$500,A35))</f>
        <v/>
      </c>
    </row>
    <row r="36" spans="1:11">
      <c r="A36" t="str">
        <f>IF(Players!A36="","",Players!A36)</f>
        <v/>
      </c>
      <c r="B36" t="str">
        <f>IF(A36="","",IFERROR(VLOOKUP(A36,Players!$A$4:$D$200,2,FALSE),""))</f>
        <v/>
      </c>
      <c r="C36" t="str">
        <f>IF(A36="","",IFERROR(VLOOKUP(A36,Players!$A$4:$D$200,3,FALSE),""))</f>
        <v/>
      </c>
      <c r="D36" t="str">
        <f>IF(A36="","",IFERROR(VLOOKUP(A36,Players!$A$4:$D$200,4,FALSE),""))</f>
        <v/>
      </c>
      <c r="E36" t="str">
        <f>IF(A36="","",COUNTIFS('Player Game Stats'!$B$4:$B$500,A36,'Player Game Stats'!$D$4:$D$500,"Yes"))</f>
        <v/>
      </c>
      <c r="F36" t="str">
        <f>IF(A36="","",SUMIFS('Player Game Stats'!$E$4:$E$500,'Player Game Stats'!$B$4:$B$500,A36))</f>
        <v/>
      </c>
      <c r="G36" t="str">
        <f>IF(A36="","",SUMIFS('Player Game Stats'!$F$4:$F$500,'Player Game Stats'!$B$4:$B$500,A36))</f>
        <v/>
      </c>
      <c r="H36" t="str">
        <f t="shared" ref="H36:H67" si="1">IF(A36="","",F36+G36)</f>
        <v/>
      </c>
      <c r="I36" t="str">
        <f>IF(A36="","",SUMIFS('Player Game Stats'!$H$4:$H$500,'Player Game Stats'!$B$4:$B$500,A36))</f>
        <v/>
      </c>
      <c r="J36" t="str">
        <f>IF(A36="","",SUMIFS('Player Game Stats'!$I$4:$I$500,'Player Game Stats'!$B$4:$B$500,A36))</f>
        <v/>
      </c>
    </row>
    <row r="37" spans="1:11">
      <c r="A37" t="str">
        <f>IF(Players!A37="","",Players!A37)</f>
        <v/>
      </c>
      <c r="B37" t="str">
        <f>IF(A37="","",IFERROR(VLOOKUP(A37,Players!$A$4:$D$200,2,FALSE),""))</f>
        <v/>
      </c>
      <c r="C37" t="str">
        <f>IF(A37="","",IFERROR(VLOOKUP(A37,Players!$A$4:$D$200,3,FALSE),""))</f>
        <v/>
      </c>
      <c r="D37" t="str">
        <f>IF(A37="","",IFERROR(VLOOKUP(A37,Players!$A$4:$D$200,4,FALSE),""))</f>
        <v/>
      </c>
      <c r="E37" t="str">
        <f>IF(A37="","",COUNTIFS('Player Game Stats'!$B$4:$B$500,A37,'Player Game Stats'!$D$4:$D$500,"Yes"))</f>
        <v/>
      </c>
      <c r="F37" t="str">
        <f>IF(A37="","",SUMIFS('Player Game Stats'!$E$4:$E$500,'Player Game Stats'!$B$4:$B$500,A37))</f>
        <v/>
      </c>
      <c r="G37" t="str">
        <f>IF(A37="","",SUMIFS('Player Game Stats'!$F$4:$F$500,'Player Game Stats'!$B$4:$B$500,A37))</f>
        <v/>
      </c>
      <c r="H37" t="str">
        <f t="shared" si="1"/>
        <v/>
      </c>
      <c r="I37" t="str">
        <f>IF(A37="","",SUMIFS('Player Game Stats'!$H$4:$H$500,'Player Game Stats'!$B$4:$B$500,A37))</f>
        <v/>
      </c>
      <c r="J37" t="str">
        <f>IF(A37="","",SUMIFS('Player Game Stats'!$I$4:$I$500,'Player Game Stats'!$B$4:$B$500,A37))</f>
        <v/>
      </c>
    </row>
    <row r="38" spans="1:11">
      <c r="A38" t="str">
        <f>IF(Players!A38="","",Players!A38)</f>
        <v/>
      </c>
      <c r="B38" t="str">
        <f>IF(A38="","",IFERROR(VLOOKUP(A38,Players!$A$4:$D$200,2,FALSE),""))</f>
        <v/>
      </c>
      <c r="C38" t="str">
        <f>IF(A38="","",IFERROR(VLOOKUP(A38,Players!$A$4:$D$200,3,FALSE),""))</f>
        <v/>
      </c>
      <c r="D38" t="str">
        <f>IF(A38="","",IFERROR(VLOOKUP(A38,Players!$A$4:$D$200,4,FALSE),""))</f>
        <v/>
      </c>
      <c r="E38" t="str">
        <f>IF(A38="","",COUNTIFS('Player Game Stats'!$B$4:$B$500,A38,'Player Game Stats'!$D$4:$D$500,"Yes"))</f>
        <v/>
      </c>
      <c r="F38" t="str">
        <f>IF(A38="","",SUMIFS('Player Game Stats'!$E$4:$E$500,'Player Game Stats'!$B$4:$B$500,A38))</f>
        <v/>
      </c>
      <c r="G38" t="str">
        <f>IF(A38="","",SUMIFS('Player Game Stats'!$F$4:$F$500,'Player Game Stats'!$B$4:$B$500,A38))</f>
        <v/>
      </c>
      <c r="H38" t="str">
        <f t="shared" si="1"/>
        <v/>
      </c>
      <c r="I38" t="str">
        <f>IF(A38="","",SUMIFS('Player Game Stats'!$H$4:$H$500,'Player Game Stats'!$B$4:$B$500,A38))</f>
        <v/>
      </c>
      <c r="J38" t="str">
        <f>IF(A38="","",SUMIFS('Player Game Stats'!$I$4:$I$500,'Player Game Stats'!$B$4:$B$500,A38))</f>
        <v/>
      </c>
    </row>
    <row r="39" spans="1:11">
      <c r="A39" t="str">
        <f>IF(Players!A39="","",Players!A39)</f>
        <v/>
      </c>
      <c r="B39" t="str">
        <f>IF(A39="","",IFERROR(VLOOKUP(A39,Players!$A$4:$D$200,2,FALSE),""))</f>
        <v/>
      </c>
      <c r="C39" t="str">
        <f>IF(A39="","",IFERROR(VLOOKUP(A39,Players!$A$4:$D$200,3,FALSE),""))</f>
        <v/>
      </c>
      <c r="D39" t="str">
        <f>IF(A39="","",IFERROR(VLOOKUP(A39,Players!$A$4:$D$200,4,FALSE),""))</f>
        <v/>
      </c>
      <c r="E39" t="str">
        <f>IF(A39="","",COUNTIFS('Player Game Stats'!$B$4:$B$500,A39,'Player Game Stats'!$D$4:$D$500,"Yes"))</f>
        <v/>
      </c>
      <c r="F39" t="str">
        <f>IF(A39="","",SUMIFS('Player Game Stats'!$E$4:$E$500,'Player Game Stats'!$B$4:$B$500,A39))</f>
        <v/>
      </c>
      <c r="G39" t="str">
        <f>IF(A39="","",SUMIFS('Player Game Stats'!$F$4:$F$500,'Player Game Stats'!$B$4:$B$500,A39))</f>
        <v/>
      </c>
      <c r="H39" t="str">
        <f t="shared" si="1"/>
        <v/>
      </c>
      <c r="I39" t="str">
        <f>IF(A39="","",SUMIFS('Player Game Stats'!$H$4:$H$500,'Player Game Stats'!$B$4:$B$500,A39))</f>
        <v/>
      </c>
      <c r="J39" t="str">
        <f>IF(A39="","",SUMIFS('Player Game Stats'!$I$4:$I$500,'Player Game Stats'!$B$4:$B$500,A39))</f>
        <v/>
      </c>
    </row>
    <row r="40" spans="1:11">
      <c r="A40" t="str">
        <f>IF(Players!A40="","",Players!A40)</f>
        <v/>
      </c>
      <c r="B40" t="str">
        <f>IF(A40="","",IFERROR(VLOOKUP(A40,Players!$A$4:$D$200,2,FALSE),""))</f>
        <v/>
      </c>
      <c r="C40" t="str">
        <f>IF(A40="","",IFERROR(VLOOKUP(A40,Players!$A$4:$D$200,3,FALSE),""))</f>
        <v/>
      </c>
      <c r="D40" t="str">
        <f>IF(A40="","",IFERROR(VLOOKUP(A40,Players!$A$4:$D$200,4,FALSE),""))</f>
        <v/>
      </c>
      <c r="E40" t="str">
        <f>IF(A40="","",COUNTIFS('Player Game Stats'!$B$4:$B$500,A40,'Player Game Stats'!$D$4:$D$500,"Yes"))</f>
        <v/>
      </c>
      <c r="F40" t="str">
        <f>IF(A40="","",SUMIFS('Player Game Stats'!$E$4:$E$500,'Player Game Stats'!$B$4:$B$500,A40))</f>
        <v/>
      </c>
      <c r="G40" t="str">
        <f>IF(A40="","",SUMIFS('Player Game Stats'!$F$4:$F$500,'Player Game Stats'!$B$4:$B$500,A40))</f>
        <v/>
      </c>
      <c r="H40" t="str">
        <f t="shared" si="1"/>
        <v/>
      </c>
      <c r="I40" t="str">
        <f>IF(A40="","",SUMIFS('Player Game Stats'!$H$4:$H$500,'Player Game Stats'!$B$4:$B$500,A40))</f>
        <v/>
      </c>
      <c r="J40" t="str">
        <f>IF(A40="","",SUMIFS('Player Game Stats'!$I$4:$I$500,'Player Game Stats'!$B$4:$B$500,A40))</f>
        <v/>
      </c>
    </row>
    <row r="41" spans="1:11">
      <c r="A41" t="str">
        <f>IF(Players!A41="","",Players!A41)</f>
        <v/>
      </c>
      <c r="B41" t="str">
        <f>IF(A41="","",IFERROR(VLOOKUP(A41,Players!$A$4:$D$200,2,FALSE),""))</f>
        <v/>
      </c>
      <c r="C41" t="str">
        <f>IF(A41="","",IFERROR(VLOOKUP(A41,Players!$A$4:$D$200,3,FALSE),""))</f>
        <v/>
      </c>
      <c r="D41" t="str">
        <f>IF(A41="","",IFERROR(VLOOKUP(A41,Players!$A$4:$D$200,4,FALSE),""))</f>
        <v/>
      </c>
      <c r="E41" t="str">
        <f>IF(A41="","",COUNTIFS('Player Game Stats'!$B$4:$B$500,A41,'Player Game Stats'!$D$4:$D$500,"Yes"))</f>
        <v/>
      </c>
      <c r="F41" t="str">
        <f>IF(A41="","",SUMIFS('Player Game Stats'!$E$4:$E$500,'Player Game Stats'!$B$4:$B$500,A41))</f>
        <v/>
      </c>
      <c r="G41" t="str">
        <f>IF(A41="","",SUMIFS('Player Game Stats'!$F$4:$F$500,'Player Game Stats'!$B$4:$B$500,A41))</f>
        <v/>
      </c>
      <c r="H41" t="str">
        <f t="shared" si="1"/>
        <v/>
      </c>
      <c r="I41" t="str">
        <f>IF(A41="","",SUMIFS('Player Game Stats'!$H$4:$H$500,'Player Game Stats'!$B$4:$B$500,A41))</f>
        <v/>
      </c>
      <c r="J41" t="str">
        <f>IF(A41="","",SUMIFS('Player Game Stats'!$I$4:$I$500,'Player Game Stats'!$B$4:$B$500,A41))</f>
        <v/>
      </c>
    </row>
    <row r="42" spans="1:11">
      <c r="A42" t="str">
        <f>IF(Players!A42="","",Players!A42)</f>
        <v/>
      </c>
      <c r="B42" t="str">
        <f>IF(A42="","",IFERROR(VLOOKUP(A42,Players!$A$4:$D$200,2,FALSE),""))</f>
        <v/>
      </c>
      <c r="C42" t="str">
        <f>IF(A42="","",IFERROR(VLOOKUP(A42,Players!$A$4:$D$200,3,FALSE),""))</f>
        <v/>
      </c>
      <c r="D42" t="str">
        <f>IF(A42="","",IFERROR(VLOOKUP(A42,Players!$A$4:$D$200,4,FALSE),""))</f>
        <v/>
      </c>
      <c r="E42" t="str">
        <f>IF(A42="","",COUNTIFS('Player Game Stats'!$B$4:$B$500,A42,'Player Game Stats'!$D$4:$D$500,"Yes"))</f>
        <v/>
      </c>
      <c r="F42" t="str">
        <f>IF(A42="","",SUMIFS('Player Game Stats'!$E$4:$E$500,'Player Game Stats'!$B$4:$B$500,A42))</f>
        <v/>
      </c>
      <c r="G42" t="str">
        <f>IF(A42="","",SUMIFS('Player Game Stats'!$F$4:$F$500,'Player Game Stats'!$B$4:$B$500,A42))</f>
        <v/>
      </c>
      <c r="H42" t="str">
        <f t="shared" si="1"/>
        <v/>
      </c>
      <c r="I42" t="str">
        <f>IF(A42="","",SUMIFS('Player Game Stats'!$H$4:$H$500,'Player Game Stats'!$B$4:$B$500,A42))</f>
        <v/>
      </c>
      <c r="J42" t="str">
        <f>IF(A42="","",SUMIFS('Player Game Stats'!$I$4:$I$500,'Player Game Stats'!$B$4:$B$500,A42))</f>
        <v/>
      </c>
    </row>
    <row r="43" spans="1:11">
      <c r="A43" t="str">
        <f>IF(Players!A43="","",Players!A43)</f>
        <v/>
      </c>
      <c r="B43" t="str">
        <f>IF(A43="","",IFERROR(VLOOKUP(A43,Players!$A$4:$D$200,2,FALSE),""))</f>
        <v/>
      </c>
      <c r="C43" t="str">
        <f>IF(A43="","",IFERROR(VLOOKUP(A43,Players!$A$4:$D$200,3,FALSE),""))</f>
        <v/>
      </c>
      <c r="D43" t="str">
        <f>IF(A43="","",IFERROR(VLOOKUP(A43,Players!$A$4:$D$200,4,FALSE),""))</f>
        <v/>
      </c>
      <c r="E43" t="str">
        <f>IF(A43="","",COUNTIFS('Player Game Stats'!$B$4:$B$500,A43,'Player Game Stats'!$D$4:$D$500,"Yes"))</f>
        <v/>
      </c>
      <c r="F43" t="str">
        <f>IF(A43="","",SUMIFS('Player Game Stats'!$E$4:$E$500,'Player Game Stats'!$B$4:$B$500,A43))</f>
        <v/>
      </c>
      <c r="G43" t="str">
        <f>IF(A43="","",SUMIFS('Player Game Stats'!$F$4:$F$500,'Player Game Stats'!$B$4:$B$500,A43))</f>
        <v/>
      </c>
      <c r="H43" t="str">
        <f t="shared" si="1"/>
        <v/>
      </c>
      <c r="I43" t="str">
        <f>IF(A43="","",SUMIFS('Player Game Stats'!$H$4:$H$500,'Player Game Stats'!$B$4:$B$500,A43))</f>
        <v/>
      </c>
      <c r="J43" t="str">
        <f>IF(A43="","",SUMIFS('Player Game Stats'!$I$4:$I$500,'Player Game Stats'!$B$4:$B$500,A43))</f>
        <v/>
      </c>
    </row>
    <row r="44" spans="1:11">
      <c r="A44" t="str">
        <f>IF(Players!A44="","",Players!A44)</f>
        <v/>
      </c>
      <c r="B44" t="str">
        <f>IF(A44="","",IFERROR(VLOOKUP(A44,Players!$A$4:$D$200,2,FALSE),""))</f>
        <v/>
      </c>
      <c r="C44" t="str">
        <f>IF(A44="","",IFERROR(VLOOKUP(A44,Players!$A$4:$D$200,3,FALSE),""))</f>
        <v/>
      </c>
      <c r="D44" t="str">
        <f>IF(A44="","",IFERROR(VLOOKUP(A44,Players!$A$4:$D$200,4,FALSE),""))</f>
        <v/>
      </c>
      <c r="E44" t="str">
        <f>IF(A44="","",COUNTIFS('Player Game Stats'!$B$4:$B$500,A44,'Player Game Stats'!$D$4:$D$500,"Yes"))</f>
        <v/>
      </c>
      <c r="F44" t="str">
        <f>IF(A44="","",SUMIFS('Player Game Stats'!$E$4:$E$500,'Player Game Stats'!$B$4:$B$500,A44))</f>
        <v/>
      </c>
      <c r="G44" t="str">
        <f>IF(A44="","",SUMIFS('Player Game Stats'!$F$4:$F$500,'Player Game Stats'!$B$4:$B$500,A44))</f>
        <v/>
      </c>
      <c r="H44" t="str">
        <f t="shared" si="1"/>
        <v/>
      </c>
      <c r="I44" t="str">
        <f>IF(A44="","",SUMIFS('Player Game Stats'!$H$4:$H$500,'Player Game Stats'!$B$4:$B$500,A44))</f>
        <v/>
      </c>
      <c r="J44" t="str">
        <f>IF(A44="","",SUMIFS('Player Game Stats'!$I$4:$I$500,'Player Game Stats'!$B$4:$B$500,A44))</f>
        <v/>
      </c>
    </row>
    <row r="45" spans="1:11">
      <c r="A45" t="str">
        <f>IF(Players!A45="","",Players!A45)</f>
        <v/>
      </c>
      <c r="B45" t="str">
        <f>IF(A45="","",IFERROR(VLOOKUP(A45,Players!$A$4:$D$200,2,FALSE),""))</f>
        <v/>
      </c>
      <c r="C45" t="str">
        <f>IF(A45="","",IFERROR(VLOOKUP(A45,Players!$A$4:$D$200,3,FALSE),""))</f>
        <v/>
      </c>
      <c r="D45" t="str">
        <f>IF(A45="","",IFERROR(VLOOKUP(A45,Players!$A$4:$D$200,4,FALSE),""))</f>
        <v/>
      </c>
      <c r="E45" t="str">
        <f>IF(A45="","",COUNTIFS('Player Game Stats'!$B$4:$B$500,A45,'Player Game Stats'!$D$4:$D$500,"Yes"))</f>
        <v/>
      </c>
      <c r="F45" t="str">
        <f>IF(A45="","",SUMIFS('Player Game Stats'!$E$4:$E$500,'Player Game Stats'!$B$4:$B$500,A45))</f>
        <v/>
      </c>
      <c r="G45" t="str">
        <f>IF(A45="","",SUMIFS('Player Game Stats'!$F$4:$F$500,'Player Game Stats'!$B$4:$B$500,A45))</f>
        <v/>
      </c>
      <c r="H45" t="str">
        <f t="shared" si="1"/>
        <v/>
      </c>
      <c r="I45" t="str">
        <f>IF(A45="","",SUMIFS('Player Game Stats'!$H$4:$H$500,'Player Game Stats'!$B$4:$B$500,A45))</f>
        <v/>
      </c>
      <c r="J45" t="str">
        <f>IF(A45="","",SUMIFS('Player Game Stats'!$I$4:$I$500,'Player Game Stats'!$B$4:$B$500,A45))</f>
        <v/>
      </c>
    </row>
    <row r="46" spans="1:11">
      <c r="A46" t="str">
        <f>IF(Players!A46="","",Players!A46)</f>
        <v/>
      </c>
      <c r="B46" t="str">
        <f>IF(A46="","",IFERROR(VLOOKUP(A46,Players!$A$4:$D$200,2,FALSE),""))</f>
        <v/>
      </c>
      <c r="C46" t="str">
        <f>IF(A46="","",IFERROR(VLOOKUP(A46,Players!$A$4:$D$200,3,FALSE),""))</f>
        <v/>
      </c>
      <c r="D46" t="str">
        <f>IF(A46="","",IFERROR(VLOOKUP(A46,Players!$A$4:$D$200,4,FALSE),""))</f>
        <v/>
      </c>
      <c r="E46" t="str">
        <f>IF(A46="","",COUNTIFS('Player Game Stats'!$B$4:$B$500,A46,'Player Game Stats'!$D$4:$D$500,"Yes"))</f>
        <v/>
      </c>
      <c r="F46" t="str">
        <f>IF(A46="","",SUMIFS('Player Game Stats'!$E$4:$E$500,'Player Game Stats'!$B$4:$B$500,A46))</f>
        <v/>
      </c>
      <c r="G46" t="str">
        <f>IF(A46="","",SUMIFS('Player Game Stats'!$F$4:$F$500,'Player Game Stats'!$B$4:$B$500,A46))</f>
        <v/>
      </c>
      <c r="H46" t="str">
        <f t="shared" si="1"/>
        <v/>
      </c>
      <c r="I46" t="str">
        <f>IF(A46="","",SUMIFS('Player Game Stats'!$H$4:$H$500,'Player Game Stats'!$B$4:$B$500,A46))</f>
        <v/>
      </c>
      <c r="J46" t="str">
        <f>IF(A46="","",SUMIFS('Player Game Stats'!$I$4:$I$500,'Player Game Stats'!$B$4:$B$500,A46))</f>
        <v/>
      </c>
    </row>
    <row r="47" spans="1:11">
      <c r="A47" t="str">
        <f>IF(Players!A47="","",Players!A47)</f>
        <v/>
      </c>
      <c r="B47" t="str">
        <f>IF(A47="","",IFERROR(VLOOKUP(A47,Players!$A$4:$D$200,2,FALSE),""))</f>
        <v/>
      </c>
      <c r="C47" t="str">
        <f>IF(A47="","",IFERROR(VLOOKUP(A47,Players!$A$4:$D$200,3,FALSE),""))</f>
        <v/>
      </c>
      <c r="D47" t="str">
        <f>IF(A47="","",IFERROR(VLOOKUP(A47,Players!$A$4:$D$200,4,FALSE),""))</f>
        <v/>
      </c>
      <c r="E47" t="str">
        <f>IF(A47="","",COUNTIFS('Player Game Stats'!$B$4:$B$500,A47,'Player Game Stats'!$D$4:$D$500,"Yes"))</f>
        <v/>
      </c>
      <c r="F47" t="str">
        <f>IF(A47="","",SUMIFS('Player Game Stats'!$E$4:$E$500,'Player Game Stats'!$B$4:$B$500,A47))</f>
        <v/>
      </c>
      <c r="G47" t="str">
        <f>IF(A47="","",SUMIFS('Player Game Stats'!$F$4:$F$500,'Player Game Stats'!$B$4:$B$500,A47))</f>
        <v/>
      </c>
      <c r="H47" t="str">
        <f t="shared" si="1"/>
        <v/>
      </c>
      <c r="I47" t="str">
        <f>IF(A47="","",SUMIFS('Player Game Stats'!$H$4:$H$500,'Player Game Stats'!$B$4:$B$500,A47))</f>
        <v/>
      </c>
      <c r="J47" t="str">
        <f>IF(A47="","",SUMIFS('Player Game Stats'!$I$4:$I$500,'Player Game Stats'!$B$4:$B$500,A47))</f>
        <v/>
      </c>
    </row>
    <row r="48" spans="1:11">
      <c r="A48" t="str">
        <f>IF(Players!A48="","",Players!A48)</f>
        <v/>
      </c>
      <c r="B48" t="str">
        <f>IF(A48="","",IFERROR(VLOOKUP(A48,Players!$A$4:$D$200,2,FALSE),""))</f>
        <v/>
      </c>
      <c r="C48" t="str">
        <f>IF(A48="","",IFERROR(VLOOKUP(A48,Players!$A$4:$D$200,3,FALSE),""))</f>
        <v/>
      </c>
      <c r="D48" t="str">
        <f>IF(A48="","",IFERROR(VLOOKUP(A48,Players!$A$4:$D$200,4,FALSE),""))</f>
        <v/>
      </c>
      <c r="E48" t="str">
        <f>IF(A48="","",COUNTIFS('Player Game Stats'!$B$4:$B$500,A48,'Player Game Stats'!$D$4:$D$500,"Yes"))</f>
        <v/>
      </c>
      <c r="F48" t="str">
        <f>IF(A48="","",SUMIFS('Player Game Stats'!$E$4:$E$500,'Player Game Stats'!$B$4:$B$500,A48))</f>
        <v/>
      </c>
      <c r="G48" t="str">
        <f>IF(A48="","",SUMIFS('Player Game Stats'!$F$4:$F$500,'Player Game Stats'!$B$4:$B$500,A48))</f>
        <v/>
      </c>
      <c r="H48" t="str">
        <f t="shared" si="1"/>
        <v/>
      </c>
      <c r="I48" t="str">
        <f>IF(A48="","",SUMIFS('Player Game Stats'!$H$4:$H$500,'Player Game Stats'!$B$4:$B$500,A48))</f>
        <v/>
      </c>
      <c r="J48" t="str">
        <f>IF(A48="","",SUMIFS('Player Game Stats'!$I$4:$I$500,'Player Game Stats'!$B$4:$B$500,A48))</f>
        <v/>
      </c>
    </row>
    <row r="49" spans="1:10">
      <c r="A49" t="str">
        <f>IF(Players!A49="","",Players!A49)</f>
        <v/>
      </c>
      <c r="B49" t="str">
        <f>IF(A49="","",IFERROR(VLOOKUP(A49,Players!$A$4:$D$200,2,FALSE),""))</f>
        <v/>
      </c>
      <c r="C49" t="str">
        <f>IF(A49="","",IFERROR(VLOOKUP(A49,Players!$A$4:$D$200,3,FALSE),""))</f>
        <v/>
      </c>
      <c r="D49" t="str">
        <f>IF(A49="","",IFERROR(VLOOKUP(A49,Players!$A$4:$D$200,4,FALSE),""))</f>
        <v/>
      </c>
      <c r="E49" t="str">
        <f>IF(A49="","",COUNTIFS('Player Game Stats'!$B$4:$B$500,A49,'Player Game Stats'!$D$4:$D$500,"Yes"))</f>
        <v/>
      </c>
      <c r="F49" t="str">
        <f>IF(A49="","",SUMIFS('Player Game Stats'!$E$4:$E$500,'Player Game Stats'!$B$4:$B$500,A49))</f>
        <v/>
      </c>
      <c r="G49" t="str">
        <f>IF(A49="","",SUMIFS('Player Game Stats'!$F$4:$F$500,'Player Game Stats'!$B$4:$B$500,A49))</f>
        <v/>
      </c>
      <c r="H49" t="str">
        <f t="shared" si="1"/>
        <v/>
      </c>
      <c r="I49" t="str">
        <f>IF(A49="","",SUMIFS('Player Game Stats'!$H$4:$H$500,'Player Game Stats'!$B$4:$B$500,A49))</f>
        <v/>
      </c>
      <c r="J49" t="str">
        <f>IF(A49="","",SUMIFS('Player Game Stats'!$I$4:$I$500,'Player Game Stats'!$B$4:$B$500,A49))</f>
        <v/>
      </c>
    </row>
    <row r="50" spans="1:10">
      <c r="A50" t="str">
        <f>IF(Players!A50="","",Players!A50)</f>
        <v/>
      </c>
      <c r="B50" t="str">
        <f>IF(A50="","",IFERROR(VLOOKUP(A50,Players!$A$4:$D$200,2,FALSE),""))</f>
        <v/>
      </c>
      <c r="C50" t="str">
        <f>IF(A50="","",IFERROR(VLOOKUP(A50,Players!$A$4:$D$200,3,FALSE),""))</f>
        <v/>
      </c>
      <c r="D50" t="str">
        <f>IF(A50="","",IFERROR(VLOOKUP(A50,Players!$A$4:$D$200,4,FALSE),""))</f>
        <v/>
      </c>
      <c r="E50" t="str">
        <f>IF(A50="","",COUNTIFS('Player Game Stats'!$B$4:$B$500,A50,'Player Game Stats'!$D$4:$D$500,"Yes"))</f>
        <v/>
      </c>
      <c r="F50" t="str">
        <f>IF(A50="","",SUMIFS('Player Game Stats'!$E$4:$E$500,'Player Game Stats'!$B$4:$B$500,A50))</f>
        <v/>
      </c>
      <c r="G50" t="str">
        <f>IF(A50="","",SUMIFS('Player Game Stats'!$F$4:$F$500,'Player Game Stats'!$B$4:$B$500,A50))</f>
        <v/>
      </c>
      <c r="H50" t="str">
        <f t="shared" si="1"/>
        <v/>
      </c>
      <c r="I50" t="str">
        <f>IF(A50="","",SUMIFS('Player Game Stats'!$H$4:$H$500,'Player Game Stats'!$B$4:$B$500,A50))</f>
        <v/>
      </c>
      <c r="J50" t="str">
        <f>IF(A50="","",SUMIFS('Player Game Stats'!$I$4:$I$500,'Player Game Stats'!$B$4:$B$500,A50))</f>
        <v/>
      </c>
    </row>
    <row r="51" spans="1:10">
      <c r="A51" t="str">
        <f>IF(Players!A51="","",Players!A51)</f>
        <v/>
      </c>
      <c r="B51" t="str">
        <f>IF(A51="","",IFERROR(VLOOKUP(A51,Players!$A$4:$D$200,2,FALSE),""))</f>
        <v/>
      </c>
      <c r="C51" t="str">
        <f>IF(A51="","",IFERROR(VLOOKUP(A51,Players!$A$4:$D$200,3,FALSE),""))</f>
        <v/>
      </c>
      <c r="D51" t="str">
        <f>IF(A51="","",IFERROR(VLOOKUP(A51,Players!$A$4:$D$200,4,FALSE),""))</f>
        <v/>
      </c>
      <c r="E51" t="str">
        <f>IF(A51="","",COUNTIFS('Player Game Stats'!$B$4:$B$500,A51,'Player Game Stats'!$D$4:$D$500,"Yes"))</f>
        <v/>
      </c>
      <c r="F51" t="str">
        <f>IF(A51="","",SUMIFS('Player Game Stats'!$E$4:$E$500,'Player Game Stats'!$B$4:$B$500,A51))</f>
        <v/>
      </c>
      <c r="G51" t="str">
        <f>IF(A51="","",SUMIFS('Player Game Stats'!$F$4:$F$500,'Player Game Stats'!$B$4:$B$500,A51))</f>
        <v/>
      </c>
      <c r="H51" t="str">
        <f t="shared" si="1"/>
        <v/>
      </c>
      <c r="I51" t="str">
        <f>IF(A51="","",SUMIFS('Player Game Stats'!$H$4:$H$500,'Player Game Stats'!$B$4:$B$500,A51))</f>
        <v/>
      </c>
      <c r="J51" t="str">
        <f>IF(A51="","",SUMIFS('Player Game Stats'!$I$4:$I$500,'Player Game Stats'!$B$4:$B$500,A51))</f>
        <v/>
      </c>
    </row>
    <row r="52" spans="1:10">
      <c r="A52" t="str">
        <f>IF(Players!A52="","",Players!A52)</f>
        <v/>
      </c>
      <c r="B52" t="str">
        <f>IF(A52="","",IFERROR(VLOOKUP(A52,Players!$A$4:$D$200,2,FALSE),""))</f>
        <v/>
      </c>
      <c r="C52" t="str">
        <f>IF(A52="","",IFERROR(VLOOKUP(A52,Players!$A$4:$D$200,3,FALSE),""))</f>
        <v/>
      </c>
      <c r="D52" t="str">
        <f>IF(A52="","",IFERROR(VLOOKUP(A52,Players!$A$4:$D$200,4,FALSE),""))</f>
        <v/>
      </c>
      <c r="E52" t="str">
        <f>IF(A52="","",COUNTIFS('Player Game Stats'!$B$4:$B$500,A52,'Player Game Stats'!$D$4:$D$500,"Yes"))</f>
        <v/>
      </c>
      <c r="F52" t="str">
        <f>IF(A52="","",SUMIFS('Player Game Stats'!$E$4:$E$500,'Player Game Stats'!$B$4:$B$500,A52))</f>
        <v/>
      </c>
      <c r="G52" t="str">
        <f>IF(A52="","",SUMIFS('Player Game Stats'!$F$4:$F$500,'Player Game Stats'!$B$4:$B$500,A52))</f>
        <v/>
      </c>
      <c r="H52" t="str">
        <f t="shared" si="1"/>
        <v/>
      </c>
      <c r="I52" t="str">
        <f>IF(A52="","",SUMIFS('Player Game Stats'!$H$4:$H$500,'Player Game Stats'!$B$4:$B$500,A52))</f>
        <v/>
      </c>
      <c r="J52" t="str">
        <f>IF(A52="","",SUMIFS('Player Game Stats'!$I$4:$I$500,'Player Game Stats'!$B$4:$B$500,A52))</f>
        <v/>
      </c>
    </row>
    <row r="53" spans="1:10">
      <c r="A53" t="str">
        <f>IF(Players!A53="","",Players!A53)</f>
        <v/>
      </c>
      <c r="B53" t="str">
        <f>IF(A53="","",IFERROR(VLOOKUP(A53,Players!$A$4:$D$200,2,FALSE),""))</f>
        <v/>
      </c>
      <c r="C53" t="str">
        <f>IF(A53="","",IFERROR(VLOOKUP(A53,Players!$A$4:$D$200,3,FALSE),""))</f>
        <v/>
      </c>
      <c r="D53" t="str">
        <f>IF(A53="","",IFERROR(VLOOKUP(A53,Players!$A$4:$D$200,4,FALSE),""))</f>
        <v/>
      </c>
      <c r="E53" t="str">
        <f>IF(A53="","",COUNTIFS('Player Game Stats'!$B$4:$B$500,A53,'Player Game Stats'!$D$4:$D$500,"Yes"))</f>
        <v/>
      </c>
      <c r="F53" t="str">
        <f>IF(A53="","",SUMIFS('Player Game Stats'!$E$4:$E$500,'Player Game Stats'!$B$4:$B$500,A53))</f>
        <v/>
      </c>
      <c r="G53" t="str">
        <f>IF(A53="","",SUMIFS('Player Game Stats'!$F$4:$F$500,'Player Game Stats'!$B$4:$B$500,A53))</f>
        <v/>
      </c>
      <c r="H53" t="str">
        <f t="shared" si="1"/>
        <v/>
      </c>
      <c r="I53" t="str">
        <f>IF(A53="","",SUMIFS('Player Game Stats'!$H$4:$H$500,'Player Game Stats'!$B$4:$B$500,A53))</f>
        <v/>
      </c>
      <c r="J53" t="str">
        <f>IF(A53="","",SUMIFS('Player Game Stats'!$I$4:$I$500,'Player Game Stats'!$B$4:$B$500,A53))</f>
        <v/>
      </c>
    </row>
    <row r="54" spans="1:10">
      <c r="A54" t="str">
        <f>IF(Players!A54="","",Players!A54)</f>
        <v/>
      </c>
      <c r="B54" t="str">
        <f>IF(A54="","",IFERROR(VLOOKUP(A54,Players!$A$4:$D$200,2,FALSE),""))</f>
        <v/>
      </c>
      <c r="C54" t="str">
        <f>IF(A54="","",IFERROR(VLOOKUP(A54,Players!$A$4:$D$200,3,FALSE),""))</f>
        <v/>
      </c>
      <c r="D54" t="str">
        <f>IF(A54="","",IFERROR(VLOOKUP(A54,Players!$A$4:$D$200,4,FALSE),""))</f>
        <v/>
      </c>
      <c r="E54" t="str">
        <f>IF(A54="","",COUNTIFS('Player Game Stats'!$B$4:$B$500,A54,'Player Game Stats'!$D$4:$D$500,"Yes"))</f>
        <v/>
      </c>
      <c r="F54" t="str">
        <f>IF(A54="","",SUMIFS('Player Game Stats'!$E$4:$E$500,'Player Game Stats'!$B$4:$B$500,A54))</f>
        <v/>
      </c>
      <c r="G54" t="str">
        <f>IF(A54="","",SUMIFS('Player Game Stats'!$F$4:$F$500,'Player Game Stats'!$B$4:$B$500,A54))</f>
        <v/>
      </c>
      <c r="H54" t="str">
        <f t="shared" si="1"/>
        <v/>
      </c>
      <c r="I54" t="str">
        <f>IF(A54="","",SUMIFS('Player Game Stats'!$H$4:$H$500,'Player Game Stats'!$B$4:$B$500,A54))</f>
        <v/>
      </c>
      <c r="J54" t="str">
        <f>IF(A54="","",SUMIFS('Player Game Stats'!$I$4:$I$500,'Player Game Stats'!$B$4:$B$500,A54))</f>
        <v/>
      </c>
    </row>
    <row r="55" spans="1:10">
      <c r="A55" t="str">
        <f>IF(Players!A55="","",Players!A55)</f>
        <v/>
      </c>
      <c r="B55" t="str">
        <f>IF(A55="","",IFERROR(VLOOKUP(A55,Players!$A$4:$D$200,2,FALSE),""))</f>
        <v/>
      </c>
      <c r="C55" t="str">
        <f>IF(A55="","",IFERROR(VLOOKUP(A55,Players!$A$4:$D$200,3,FALSE),""))</f>
        <v/>
      </c>
      <c r="D55" t="str">
        <f>IF(A55="","",IFERROR(VLOOKUP(A55,Players!$A$4:$D$200,4,FALSE),""))</f>
        <v/>
      </c>
      <c r="E55" t="str">
        <f>IF(A55="","",COUNTIFS('Player Game Stats'!$B$4:$B$500,A55,'Player Game Stats'!$D$4:$D$500,"Yes"))</f>
        <v/>
      </c>
      <c r="F55" t="str">
        <f>IF(A55="","",SUMIFS('Player Game Stats'!$E$4:$E$500,'Player Game Stats'!$B$4:$B$500,A55))</f>
        <v/>
      </c>
      <c r="G55" t="str">
        <f>IF(A55="","",SUMIFS('Player Game Stats'!$F$4:$F$500,'Player Game Stats'!$B$4:$B$500,A55))</f>
        <v/>
      </c>
      <c r="H55" t="str">
        <f t="shared" si="1"/>
        <v/>
      </c>
      <c r="I55" t="str">
        <f>IF(A55="","",SUMIFS('Player Game Stats'!$H$4:$H$500,'Player Game Stats'!$B$4:$B$500,A55))</f>
        <v/>
      </c>
      <c r="J55" t="str">
        <f>IF(A55="","",SUMIFS('Player Game Stats'!$I$4:$I$500,'Player Game Stats'!$B$4:$B$500,A55))</f>
        <v/>
      </c>
    </row>
    <row r="56" spans="1:10">
      <c r="A56" t="str">
        <f>IF(Players!A56="","",Players!A56)</f>
        <v/>
      </c>
      <c r="B56" t="str">
        <f>IF(A56="","",IFERROR(VLOOKUP(A56,Players!$A$4:$D$200,2,FALSE),""))</f>
        <v/>
      </c>
      <c r="C56" t="str">
        <f>IF(A56="","",IFERROR(VLOOKUP(A56,Players!$A$4:$D$200,3,FALSE),""))</f>
        <v/>
      </c>
      <c r="D56" t="str">
        <f>IF(A56="","",IFERROR(VLOOKUP(A56,Players!$A$4:$D$200,4,FALSE),""))</f>
        <v/>
      </c>
      <c r="E56" t="str">
        <f>IF(A56="","",COUNTIFS('Player Game Stats'!$B$4:$B$500,A56,'Player Game Stats'!$D$4:$D$500,"Yes"))</f>
        <v/>
      </c>
      <c r="F56" t="str">
        <f>IF(A56="","",SUMIFS('Player Game Stats'!$E$4:$E$500,'Player Game Stats'!$B$4:$B$500,A56))</f>
        <v/>
      </c>
      <c r="G56" t="str">
        <f>IF(A56="","",SUMIFS('Player Game Stats'!$F$4:$F$500,'Player Game Stats'!$B$4:$B$500,A56))</f>
        <v/>
      </c>
      <c r="H56" t="str">
        <f t="shared" si="1"/>
        <v/>
      </c>
      <c r="I56" t="str">
        <f>IF(A56="","",SUMIFS('Player Game Stats'!$H$4:$H$500,'Player Game Stats'!$B$4:$B$500,A56))</f>
        <v/>
      </c>
      <c r="J56" t="str">
        <f>IF(A56="","",SUMIFS('Player Game Stats'!$I$4:$I$500,'Player Game Stats'!$B$4:$B$500,A56))</f>
        <v/>
      </c>
    </row>
    <row r="57" spans="1:10">
      <c r="A57" t="str">
        <f>IF(Players!A57="","",Players!A57)</f>
        <v/>
      </c>
      <c r="B57" t="str">
        <f>IF(A57="","",IFERROR(VLOOKUP(A57,Players!$A$4:$D$200,2,FALSE),""))</f>
        <v/>
      </c>
      <c r="C57" t="str">
        <f>IF(A57="","",IFERROR(VLOOKUP(A57,Players!$A$4:$D$200,3,FALSE),""))</f>
        <v/>
      </c>
      <c r="D57" t="str">
        <f>IF(A57="","",IFERROR(VLOOKUP(A57,Players!$A$4:$D$200,4,FALSE),""))</f>
        <v/>
      </c>
      <c r="E57" t="str">
        <f>IF(A57="","",COUNTIFS('Player Game Stats'!$B$4:$B$500,A57,'Player Game Stats'!$D$4:$D$500,"Yes"))</f>
        <v/>
      </c>
      <c r="F57" t="str">
        <f>IF(A57="","",SUMIFS('Player Game Stats'!$E$4:$E$500,'Player Game Stats'!$B$4:$B$500,A57))</f>
        <v/>
      </c>
      <c r="G57" t="str">
        <f>IF(A57="","",SUMIFS('Player Game Stats'!$F$4:$F$500,'Player Game Stats'!$B$4:$B$500,A57))</f>
        <v/>
      </c>
      <c r="H57" t="str">
        <f t="shared" si="1"/>
        <v/>
      </c>
      <c r="I57" t="str">
        <f>IF(A57="","",SUMIFS('Player Game Stats'!$H$4:$H$500,'Player Game Stats'!$B$4:$B$500,A57))</f>
        <v/>
      </c>
      <c r="J57" t="str">
        <f>IF(A57="","",SUMIFS('Player Game Stats'!$I$4:$I$500,'Player Game Stats'!$B$4:$B$500,A57))</f>
        <v/>
      </c>
    </row>
    <row r="58" spans="1:10">
      <c r="A58" t="str">
        <f>IF(Players!A58="","",Players!A58)</f>
        <v/>
      </c>
      <c r="B58" t="str">
        <f>IF(A58="","",IFERROR(VLOOKUP(A58,Players!$A$4:$D$200,2,FALSE),""))</f>
        <v/>
      </c>
      <c r="C58" t="str">
        <f>IF(A58="","",IFERROR(VLOOKUP(A58,Players!$A$4:$D$200,3,FALSE),""))</f>
        <v/>
      </c>
      <c r="D58" t="str">
        <f>IF(A58="","",IFERROR(VLOOKUP(A58,Players!$A$4:$D$200,4,FALSE),""))</f>
        <v/>
      </c>
      <c r="E58" t="str">
        <f>IF(A58="","",COUNTIFS('Player Game Stats'!$B$4:$B$500,A58,'Player Game Stats'!$D$4:$D$500,"Yes"))</f>
        <v/>
      </c>
      <c r="F58" t="str">
        <f>IF(A58="","",SUMIFS('Player Game Stats'!$E$4:$E$500,'Player Game Stats'!$B$4:$B$500,A58))</f>
        <v/>
      </c>
      <c r="G58" t="str">
        <f>IF(A58="","",SUMIFS('Player Game Stats'!$F$4:$F$500,'Player Game Stats'!$B$4:$B$500,A58))</f>
        <v/>
      </c>
      <c r="H58" t="str">
        <f t="shared" si="1"/>
        <v/>
      </c>
      <c r="I58" t="str">
        <f>IF(A58="","",SUMIFS('Player Game Stats'!$H$4:$H$500,'Player Game Stats'!$B$4:$B$500,A58))</f>
        <v/>
      </c>
      <c r="J58" t="str">
        <f>IF(A58="","",SUMIFS('Player Game Stats'!$I$4:$I$500,'Player Game Stats'!$B$4:$B$500,A58))</f>
        <v/>
      </c>
    </row>
    <row r="59" spans="1:10">
      <c r="A59" t="str">
        <f>IF(Players!A59="","",Players!A59)</f>
        <v/>
      </c>
      <c r="B59" t="str">
        <f>IF(A59="","",IFERROR(VLOOKUP(A59,Players!$A$4:$D$200,2,FALSE),""))</f>
        <v/>
      </c>
      <c r="C59" t="str">
        <f>IF(A59="","",IFERROR(VLOOKUP(A59,Players!$A$4:$D$200,3,FALSE),""))</f>
        <v/>
      </c>
      <c r="D59" t="str">
        <f>IF(A59="","",IFERROR(VLOOKUP(A59,Players!$A$4:$D$200,4,FALSE),""))</f>
        <v/>
      </c>
      <c r="E59" t="str">
        <f>IF(A59="","",COUNTIFS('Player Game Stats'!$B$4:$B$500,A59,'Player Game Stats'!$D$4:$D$500,"Yes"))</f>
        <v/>
      </c>
      <c r="F59" t="str">
        <f>IF(A59="","",SUMIFS('Player Game Stats'!$E$4:$E$500,'Player Game Stats'!$B$4:$B$500,A59))</f>
        <v/>
      </c>
      <c r="G59" t="str">
        <f>IF(A59="","",SUMIFS('Player Game Stats'!$F$4:$F$500,'Player Game Stats'!$B$4:$B$500,A59))</f>
        <v/>
      </c>
      <c r="H59" t="str">
        <f t="shared" si="1"/>
        <v/>
      </c>
      <c r="I59" t="str">
        <f>IF(A59="","",SUMIFS('Player Game Stats'!$H$4:$H$500,'Player Game Stats'!$B$4:$B$500,A59))</f>
        <v/>
      </c>
      <c r="J59" t="str">
        <f>IF(A59="","",SUMIFS('Player Game Stats'!$I$4:$I$500,'Player Game Stats'!$B$4:$B$500,A59))</f>
        <v/>
      </c>
    </row>
    <row r="60" spans="1:10">
      <c r="A60" t="str">
        <f>IF(Players!A60="","",Players!A60)</f>
        <v/>
      </c>
      <c r="B60" t="str">
        <f>IF(A60="","",IFERROR(VLOOKUP(A60,Players!$A$4:$D$200,2,FALSE),""))</f>
        <v/>
      </c>
      <c r="C60" t="str">
        <f>IF(A60="","",IFERROR(VLOOKUP(A60,Players!$A$4:$D$200,3,FALSE),""))</f>
        <v/>
      </c>
      <c r="D60" t="str">
        <f>IF(A60="","",IFERROR(VLOOKUP(A60,Players!$A$4:$D$200,4,FALSE),""))</f>
        <v/>
      </c>
      <c r="E60" t="str">
        <f>IF(A60="","",COUNTIFS('Player Game Stats'!$B$4:$B$500,A60,'Player Game Stats'!$D$4:$D$500,"Yes"))</f>
        <v/>
      </c>
      <c r="F60" t="str">
        <f>IF(A60="","",SUMIFS('Player Game Stats'!$E$4:$E$500,'Player Game Stats'!$B$4:$B$500,A60))</f>
        <v/>
      </c>
      <c r="G60" t="str">
        <f>IF(A60="","",SUMIFS('Player Game Stats'!$F$4:$F$500,'Player Game Stats'!$B$4:$B$500,A60))</f>
        <v/>
      </c>
      <c r="H60" t="str">
        <f t="shared" si="1"/>
        <v/>
      </c>
      <c r="I60" t="str">
        <f>IF(A60="","",SUMIFS('Player Game Stats'!$H$4:$H$500,'Player Game Stats'!$B$4:$B$500,A60))</f>
        <v/>
      </c>
      <c r="J60" t="str">
        <f>IF(A60="","",SUMIFS('Player Game Stats'!$I$4:$I$500,'Player Game Stats'!$B$4:$B$500,A60))</f>
        <v/>
      </c>
    </row>
    <row r="61" spans="1:10">
      <c r="A61" t="str">
        <f>IF(Players!A61="","",Players!A61)</f>
        <v/>
      </c>
      <c r="B61" t="str">
        <f>IF(A61="","",IFERROR(VLOOKUP(A61,Players!$A$4:$D$200,2,FALSE),""))</f>
        <v/>
      </c>
      <c r="C61" t="str">
        <f>IF(A61="","",IFERROR(VLOOKUP(A61,Players!$A$4:$D$200,3,FALSE),""))</f>
        <v/>
      </c>
      <c r="D61" t="str">
        <f>IF(A61="","",IFERROR(VLOOKUP(A61,Players!$A$4:$D$200,4,FALSE),""))</f>
        <v/>
      </c>
      <c r="E61" t="str">
        <f>IF(A61="","",COUNTIFS('Player Game Stats'!$B$4:$B$500,A61,'Player Game Stats'!$D$4:$D$500,"Yes"))</f>
        <v/>
      </c>
      <c r="F61" t="str">
        <f>IF(A61="","",SUMIFS('Player Game Stats'!$E$4:$E$500,'Player Game Stats'!$B$4:$B$500,A61))</f>
        <v/>
      </c>
      <c r="G61" t="str">
        <f>IF(A61="","",SUMIFS('Player Game Stats'!$F$4:$F$500,'Player Game Stats'!$B$4:$B$500,A61))</f>
        <v/>
      </c>
      <c r="H61" t="str">
        <f t="shared" si="1"/>
        <v/>
      </c>
      <c r="I61" t="str">
        <f>IF(A61="","",SUMIFS('Player Game Stats'!$H$4:$H$500,'Player Game Stats'!$B$4:$B$500,A61))</f>
        <v/>
      </c>
      <c r="J61" t="str">
        <f>IF(A61="","",SUMIFS('Player Game Stats'!$I$4:$I$500,'Player Game Stats'!$B$4:$B$500,A61))</f>
        <v/>
      </c>
    </row>
    <row r="62" spans="1:10">
      <c r="A62" t="str">
        <f>IF(Players!A62="","",Players!A62)</f>
        <v/>
      </c>
      <c r="B62" t="str">
        <f>IF(A62="","",IFERROR(VLOOKUP(A62,Players!$A$4:$D$200,2,FALSE),""))</f>
        <v/>
      </c>
      <c r="C62" t="str">
        <f>IF(A62="","",IFERROR(VLOOKUP(A62,Players!$A$4:$D$200,3,FALSE),""))</f>
        <v/>
      </c>
      <c r="D62" t="str">
        <f>IF(A62="","",IFERROR(VLOOKUP(A62,Players!$A$4:$D$200,4,FALSE),""))</f>
        <v/>
      </c>
      <c r="E62" t="str">
        <f>IF(A62="","",COUNTIFS('Player Game Stats'!$B$4:$B$500,A62,'Player Game Stats'!$D$4:$D$500,"Yes"))</f>
        <v/>
      </c>
      <c r="F62" t="str">
        <f>IF(A62="","",SUMIFS('Player Game Stats'!$E$4:$E$500,'Player Game Stats'!$B$4:$B$500,A62))</f>
        <v/>
      </c>
      <c r="G62" t="str">
        <f>IF(A62="","",SUMIFS('Player Game Stats'!$F$4:$F$500,'Player Game Stats'!$B$4:$B$500,A62))</f>
        <v/>
      </c>
      <c r="H62" t="str">
        <f t="shared" si="1"/>
        <v/>
      </c>
      <c r="I62" t="str">
        <f>IF(A62="","",SUMIFS('Player Game Stats'!$H$4:$H$500,'Player Game Stats'!$B$4:$B$500,A62))</f>
        <v/>
      </c>
      <c r="J62" t="str">
        <f>IF(A62="","",SUMIFS('Player Game Stats'!$I$4:$I$500,'Player Game Stats'!$B$4:$B$500,A62))</f>
        <v/>
      </c>
    </row>
    <row r="63" spans="1:10">
      <c r="A63" t="str">
        <f>IF(Players!A63="","",Players!A63)</f>
        <v/>
      </c>
      <c r="B63" t="str">
        <f>IF(A63="","",IFERROR(VLOOKUP(A63,Players!$A$4:$D$200,2,FALSE),""))</f>
        <v/>
      </c>
      <c r="C63" t="str">
        <f>IF(A63="","",IFERROR(VLOOKUP(A63,Players!$A$4:$D$200,3,FALSE),""))</f>
        <v/>
      </c>
      <c r="D63" t="str">
        <f>IF(A63="","",IFERROR(VLOOKUP(A63,Players!$A$4:$D$200,4,FALSE),""))</f>
        <v/>
      </c>
      <c r="E63" t="str">
        <f>IF(A63="","",COUNTIFS('Player Game Stats'!$B$4:$B$500,A63,'Player Game Stats'!$D$4:$D$500,"Yes"))</f>
        <v/>
      </c>
      <c r="F63" t="str">
        <f>IF(A63="","",SUMIFS('Player Game Stats'!$E$4:$E$500,'Player Game Stats'!$B$4:$B$500,A63))</f>
        <v/>
      </c>
      <c r="G63" t="str">
        <f>IF(A63="","",SUMIFS('Player Game Stats'!$F$4:$F$500,'Player Game Stats'!$B$4:$B$500,A63))</f>
        <v/>
      </c>
      <c r="H63" t="str">
        <f t="shared" si="1"/>
        <v/>
      </c>
      <c r="I63" t="str">
        <f>IF(A63="","",SUMIFS('Player Game Stats'!$H$4:$H$500,'Player Game Stats'!$B$4:$B$500,A63))</f>
        <v/>
      </c>
      <c r="J63" t="str">
        <f>IF(A63="","",SUMIFS('Player Game Stats'!$I$4:$I$500,'Player Game Stats'!$B$4:$B$500,A63))</f>
        <v/>
      </c>
    </row>
    <row r="64" spans="1:10">
      <c r="A64" t="str">
        <f>IF(Players!A64="","",Players!A64)</f>
        <v/>
      </c>
      <c r="B64" t="str">
        <f>IF(A64="","",IFERROR(VLOOKUP(A64,Players!$A$4:$D$200,2,FALSE),""))</f>
        <v/>
      </c>
      <c r="C64" t="str">
        <f>IF(A64="","",IFERROR(VLOOKUP(A64,Players!$A$4:$D$200,3,FALSE),""))</f>
        <v/>
      </c>
      <c r="D64" t="str">
        <f>IF(A64="","",IFERROR(VLOOKUP(A64,Players!$A$4:$D$200,4,FALSE),""))</f>
        <v/>
      </c>
      <c r="E64" t="str">
        <f>IF(A64="","",COUNTIFS('Player Game Stats'!$B$4:$B$500,A64,'Player Game Stats'!$D$4:$D$500,"Yes"))</f>
        <v/>
      </c>
      <c r="F64" t="str">
        <f>IF(A64="","",SUMIFS('Player Game Stats'!$E$4:$E$500,'Player Game Stats'!$B$4:$B$500,A64))</f>
        <v/>
      </c>
      <c r="G64" t="str">
        <f>IF(A64="","",SUMIFS('Player Game Stats'!$F$4:$F$500,'Player Game Stats'!$B$4:$B$500,A64))</f>
        <v/>
      </c>
      <c r="H64" t="str">
        <f t="shared" si="1"/>
        <v/>
      </c>
      <c r="I64" t="str">
        <f>IF(A64="","",SUMIFS('Player Game Stats'!$H$4:$H$500,'Player Game Stats'!$B$4:$B$500,A64))</f>
        <v/>
      </c>
      <c r="J64" t="str">
        <f>IF(A64="","",SUMIFS('Player Game Stats'!$I$4:$I$500,'Player Game Stats'!$B$4:$B$500,A64))</f>
        <v/>
      </c>
    </row>
    <row r="65" spans="1:10">
      <c r="A65" t="str">
        <f>IF(Players!A65="","",Players!A65)</f>
        <v/>
      </c>
      <c r="B65" t="str">
        <f>IF(A65="","",IFERROR(VLOOKUP(A65,Players!$A$4:$D$200,2,FALSE),""))</f>
        <v/>
      </c>
      <c r="C65" t="str">
        <f>IF(A65="","",IFERROR(VLOOKUP(A65,Players!$A$4:$D$200,3,FALSE),""))</f>
        <v/>
      </c>
      <c r="D65" t="str">
        <f>IF(A65="","",IFERROR(VLOOKUP(A65,Players!$A$4:$D$200,4,FALSE),""))</f>
        <v/>
      </c>
      <c r="E65" t="str">
        <f>IF(A65="","",COUNTIFS('Player Game Stats'!$B$4:$B$500,A65,'Player Game Stats'!$D$4:$D$500,"Yes"))</f>
        <v/>
      </c>
      <c r="F65" t="str">
        <f>IF(A65="","",SUMIFS('Player Game Stats'!$E$4:$E$500,'Player Game Stats'!$B$4:$B$500,A65))</f>
        <v/>
      </c>
      <c r="G65" t="str">
        <f>IF(A65="","",SUMIFS('Player Game Stats'!$F$4:$F$500,'Player Game Stats'!$B$4:$B$500,A65))</f>
        <v/>
      </c>
      <c r="H65" t="str">
        <f t="shared" si="1"/>
        <v/>
      </c>
      <c r="I65" t="str">
        <f>IF(A65="","",SUMIFS('Player Game Stats'!$H$4:$H$500,'Player Game Stats'!$B$4:$B$500,A65))</f>
        <v/>
      </c>
      <c r="J65" t="str">
        <f>IF(A65="","",SUMIFS('Player Game Stats'!$I$4:$I$500,'Player Game Stats'!$B$4:$B$500,A65))</f>
        <v/>
      </c>
    </row>
    <row r="66" spans="1:10">
      <c r="A66" t="str">
        <f>IF(Players!A66="","",Players!A66)</f>
        <v/>
      </c>
      <c r="B66" t="str">
        <f>IF(A66="","",IFERROR(VLOOKUP(A66,Players!$A$4:$D$200,2,FALSE),""))</f>
        <v/>
      </c>
      <c r="C66" t="str">
        <f>IF(A66="","",IFERROR(VLOOKUP(A66,Players!$A$4:$D$200,3,FALSE),""))</f>
        <v/>
      </c>
      <c r="D66" t="str">
        <f>IF(A66="","",IFERROR(VLOOKUP(A66,Players!$A$4:$D$200,4,FALSE),""))</f>
        <v/>
      </c>
      <c r="E66" t="str">
        <f>IF(A66="","",COUNTIFS('Player Game Stats'!$B$4:$B$500,A66,'Player Game Stats'!$D$4:$D$500,"Yes"))</f>
        <v/>
      </c>
      <c r="F66" t="str">
        <f>IF(A66="","",SUMIFS('Player Game Stats'!$E$4:$E$500,'Player Game Stats'!$B$4:$B$500,A66))</f>
        <v/>
      </c>
      <c r="G66" t="str">
        <f>IF(A66="","",SUMIFS('Player Game Stats'!$F$4:$F$500,'Player Game Stats'!$B$4:$B$500,A66))</f>
        <v/>
      </c>
      <c r="H66" t="str">
        <f t="shared" si="1"/>
        <v/>
      </c>
      <c r="I66" t="str">
        <f>IF(A66="","",SUMIFS('Player Game Stats'!$H$4:$H$500,'Player Game Stats'!$B$4:$B$500,A66))</f>
        <v/>
      </c>
      <c r="J66" t="str">
        <f>IF(A66="","",SUMIFS('Player Game Stats'!$I$4:$I$500,'Player Game Stats'!$B$4:$B$500,A66))</f>
        <v/>
      </c>
    </row>
    <row r="67" spans="1:10">
      <c r="A67" t="str">
        <f>IF(Players!A67="","",Players!A67)</f>
        <v/>
      </c>
      <c r="B67" t="str">
        <f>IF(A67="","",IFERROR(VLOOKUP(A67,Players!$A$4:$D$200,2,FALSE),""))</f>
        <v/>
      </c>
      <c r="C67" t="str">
        <f>IF(A67="","",IFERROR(VLOOKUP(A67,Players!$A$4:$D$200,3,FALSE),""))</f>
        <v/>
      </c>
      <c r="D67" t="str">
        <f>IF(A67="","",IFERROR(VLOOKUP(A67,Players!$A$4:$D$200,4,FALSE),""))</f>
        <v/>
      </c>
      <c r="E67" t="str">
        <f>IF(A67="","",COUNTIFS('Player Game Stats'!$B$4:$B$500,A67,'Player Game Stats'!$D$4:$D$500,"Yes"))</f>
        <v/>
      </c>
      <c r="F67" t="str">
        <f>IF(A67="","",SUMIFS('Player Game Stats'!$E$4:$E$500,'Player Game Stats'!$B$4:$B$500,A67))</f>
        <v/>
      </c>
      <c r="G67" t="str">
        <f>IF(A67="","",SUMIFS('Player Game Stats'!$F$4:$F$500,'Player Game Stats'!$B$4:$B$500,A67))</f>
        <v/>
      </c>
      <c r="H67" t="str">
        <f t="shared" si="1"/>
        <v/>
      </c>
      <c r="I67" t="str">
        <f>IF(A67="","",SUMIFS('Player Game Stats'!$H$4:$H$500,'Player Game Stats'!$B$4:$B$500,A67))</f>
        <v/>
      </c>
      <c r="J67" t="str">
        <f>IF(A67="","",SUMIFS('Player Game Stats'!$I$4:$I$500,'Player Game Stats'!$B$4:$B$500,A67))</f>
        <v/>
      </c>
    </row>
    <row r="68" spans="1:10">
      <c r="A68" t="str">
        <f>IF(Players!A68="","",Players!A68)</f>
        <v/>
      </c>
      <c r="B68" t="str">
        <f>IF(A68="","",IFERROR(VLOOKUP(A68,Players!$A$4:$D$200,2,FALSE),""))</f>
        <v/>
      </c>
      <c r="C68" t="str">
        <f>IF(A68="","",IFERROR(VLOOKUP(A68,Players!$A$4:$D$200,3,FALSE),""))</f>
        <v/>
      </c>
      <c r="D68" t="str">
        <f>IF(A68="","",IFERROR(VLOOKUP(A68,Players!$A$4:$D$200,4,FALSE),""))</f>
        <v/>
      </c>
      <c r="E68" t="str">
        <f>IF(A68="","",COUNTIFS('Player Game Stats'!$B$4:$B$500,A68,'Player Game Stats'!$D$4:$D$500,"Yes"))</f>
        <v/>
      </c>
      <c r="F68" t="str">
        <f>IF(A68="","",SUMIFS('Player Game Stats'!$E$4:$E$500,'Player Game Stats'!$B$4:$B$500,A68))</f>
        <v/>
      </c>
      <c r="G68" t="str">
        <f>IF(A68="","",SUMIFS('Player Game Stats'!$F$4:$F$500,'Player Game Stats'!$B$4:$B$500,A68))</f>
        <v/>
      </c>
      <c r="H68" t="str">
        <f t="shared" ref="H68:H99" si="2">IF(A68="","",F68+G68)</f>
        <v/>
      </c>
      <c r="I68" t="str">
        <f>IF(A68="","",SUMIFS('Player Game Stats'!$H$4:$H$500,'Player Game Stats'!$B$4:$B$500,A68))</f>
        <v/>
      </c>
      <c r="J68" t="str">
        <f>IF(A68="","",SUMIFS('Player Game Stats'!$I$4:$I$500,'Player Game Stats'!$B$4:$B$500,A68))</f>
        <v/>
      </c>
    </row>
    <row r="69" spans="1:10">
      <c r="A69" t="str">
        <f>IF(Players!A69="","",Players!A69)</f>
        <v/>
      </c>
      <c r="B69" t="str">
        <f>IF(A69="","",IFERROR(VLOOKUP(A69,Players!$A$4:$D$200,2,FALSE),""))</f>
        <v/>
      </c>
      <c r="C69" t="str">
        <f>IF(A69="","",IFERROR(VLOOKUP(A69,Players!$A$4:$D$200,3,FALSE),""))</f>
        <v/>
      </c>
      <c r="D69" t="str">
        <f>IF(A69="","",IFERROR(VLOOKUP(A69,Players!$A$4:$D$200,4,FALSE),""))</f>
        <v/>
      </c>
      <c r="E69" t="str">
        <f>IF(A69="","",COUNTIFS('Player Game Stats'!$B$4:$B$500,A69,'Player Game Stats'!$D$4:$D$500,"Yes"))</f>
        <v/>
      </c>
      <c r="F69" t="str">
        <f>IF(A69="","",SUMIFS('Player Game Stats'!$E$4:$E$500,'Player Game Stats'!$B$4:$B$500,A69))</f>
        <v/>
      </c>
      <c r="G69" t="str">
        <f>IF(A69="","",SUMIFS('Player Game Stats'!$F$4:$F$500,'Player Game Stats'!$B$4:$B$500,A69))</f>
        <v/>
      </c>
      <c r="H69" t="str">
        <f t="shared" si="2"/>
        <v/>
      </c>
      <c r="I69" t="str">
        <f>IF(A69="","",SUMIFS('Player Game Stats'!$H$4:$H$500,'Player Game Stats'!$B$4:$B$500,A69))</f>
        <v/>
      </c>
      <c r="J69" t="str">
        <f>IF(A69="","",SUMIFS('Player Game Stats'!$I$4:$I$500,'Player Game Stats'!$B$4:$B$500,A69))</f>
        <v/>
      </c>
    </row>
    <row r="70" spans="1:10">
      <c r="A70" t="str">
        <f>IF(Players!A70="","",Players!A70)</f>
        <v/>
      </c>
      <c r="B70" t="str">
        <f>IF(A70="","",IFERROR(VLOOKUP(A70,Players!$A$4:$D$200,2,FALSE),""))</f>
        <v/>
      </c>
      <c r="C70" t="str">
        <f>IF(A70="","",IFERROR(VLOOKUP(A70,Players!$A$4:$D$200,3,FALSE),""))</f>
        <v/>
      </c>
      <c r="D70" t="str">
        <f>IF(A70="","",IFERROR(VLOOKUP(A70,Players!$A$4:$D$200,4,FALSE),""))</f>
        <v/>
      </c>
      <c r="E70" t="str">
        <f>IF(A70="","",COUNTIFS('Player Game Stats'!$B$4:$B$500,A70,'Player Game Stats'!$D$4:$D$500,"Yes"))</f>
        <v/>
      </c>
      <c r="F70" t="str">
        <f>IF(A70="","",SUMIFS('Player Game Stats'!$E$4:$E$500,'Player Game Stats'!$B$4:$B$500,A70))</f>
        <v/>
      </c>
      <c r="G70" t="str">
        <f>IF(A70="","",SUMIFS('Player Game Stats'!$F$4:$F$500,'Player Game Stats'!$B$4:$B$500,A70))</f>
        <v/>
      </c>
      <c r="H70" t="str">
        <f t="shared" si="2"/>
        <v/>
      </c>
      <c r="I70" t="str">
        <f>IF(A70="","",SUMIFS('Player Game Stats'!$H$4:$H$500,'Player Game Stats'!$B$4:$B$500,A70))</f>
        <v/>
      </c>
      <c r="J70" t="str">
        <f>IF(A70="","",SUMIFS('Player Game Stats'!$I$4:$I$500,'Player Game Stats'!$B$4:$B$500,A70))</f>
        <v/>
      </c>
    </row>
    <row r="71" spans="1:10">
      <c r="A71" t="str">
        <f>IF(Players!A71="","",Players!A71)</f>
        <v/>
      </c>
      <c r="B71" t="str">
        <f>IF(A71="","",IFERROR(VLOOKUP(A71,Players!$A$4:$D$200,2,FALSE),""))</f>
        <v/>
      </c>
      <c r="C71" t="str">
        <f>IF(A71="","",IFERROR(VLOOKUP(A71,Players!$A$4:$D$200,3,FALSE),""))</f>
        <v/>
      </c>
      <c r="D71" t="str">
        <f>IF(A71="","",IFERROR(VLOOKUP(A71,Players!$A$4:$D$200,4,FALSE),""))</f>
        <v/>
      </c>
      <c r="E71" t="str">
        <f>IF(A71="","",COUNTIFS('Player Game Stats'!$B$4:$B$500,A71,'Player Game Stats'!$D$4:$D$500,"Yes"))</f>
        <v/>
      </c>
      <c r="F71" t="str">
        <f>IF(A71="","",SUMIFS('Player Game Stats'!$E$4:$E$500,'Player Game Stats'!$B$4:$B$500,A71))</f>
        <v/>
      </c>
      <c r="G71" t="str">
        <f>IF(A71="","",SUMIFS('Player Game Stats'!$F$4:$F$500,'Player Game Stats'!$B$4:$B$500,A71))</f>
        <v/>
      </c>
      <c r="H71" t="str">
        <f t="shared" si="2"/>
        <v/>
      </c>
      <c r="I71" t="str">
        <f>IF(A71="","",SUMIFS('Player Game Stats'!$H$4:$H$500,'Player Game Stats'!$B$4:$B$500,A71))</f>
        <v/>
      </c>
      <c r="J71" t="str">
        <f>IF(A71="","",SUMIFS('Player Game Stats'!$I$4:$I$500,'Player Game Stats'!$B$4:$B$500,A71))</f>
        <v/>
      </c>
    </row>
    <row r="72" spans="1:10">
      <c r="A72" t="str">
        <f>IF(Players!A72="","",Players!A72)</f>
        <v/>
      </c>
      <c r="B72" t="str">
        <f>IF(A72="","",IFERROR(VLOOKUP(A72,Players!$A$4:$D$200,2,FALSE),""))</f>
        <v/>
      </c>
      <c r="C72" t="str">
        <f>IF(A72="","",IFERROR(VLOOKUP(A72,Players!$A$4:$D$200,3,FALSE),""))</f>
        <v/>
      </c>
      <c r="D72" t="str">
        <f>IF(A72="","",IFERROR(VLOOKUP(A72,Players!$A$4:$D$200,4,FALSE),""))</f>
        <v/>
      </c>
      <c r="E72" t="str">
        <f>IF(A72="","",COUNTIFS('Player Game Stats'!$B$4:$B$500,A72,'Player Game Stats'!$D$4:$D$500,"Yes"))</f>
        <v/>
      </c>
      <c r="F72" t="str">
        <f>IF(A72="","",SUMIFS('Player Game Stats'!$E$4:$E$500,'Player Game Stats'!$B$4:$B$500,A72))</f>
        <v/>
      </c>
      <c r="G72" t="str">
        <f>IF(A72="","",SUMIFS('Player Game Stats'!$F$4:$F$500,'Player Game Stats'!$B$4:$B$500,A72))</f>
        <v/>
      </c>
      <c r="H72" t="str">
        <f t="shared" si="2"/>
        <v/>
      </c>
      <c r="I72" t="str">
        <f>IF(A72="","",SUMIFS('Player Game Stats'!$H$4:$H$500,'Player Game Stats'!$B$4:$B$500,A72))</f>
        <v/>
      </c>
      <c r="J72" t="str">
        <f>IF(A72="","",SUMIFS('Player Game Stats'!$I$4:$I$500,'Player Game Stats'!$B$4:$B$500,A72))</f>
        <v/>
      </c>
    </row>
    <row r="73" spans="1:10">
      <c r="A73" t="str">
        <f>IF(Players!A73="","",Players!A73)</f>
        <v/>
      </c>
      <c r="B73" t="str">
        <f>IF(A73="","",IFERROR(VLOOKUP(A73,Players!$A$4:$D$200,2,FALSE),""))</f>
        <v/>
      </c>
      <c r="C73" t="str">
        <f>IF(A73="","",IFERROR(VLOOKUP(A73,Players!$A$4:$D$200,3,FALSE),""))</f>
        <v/>
      </c>
      <c r="D73" t="str">
        <f>IF(A73="","",IFERROR(VLOOKUP(A73,Players!$A$4:$D$200,4,FALSE),""))</f>
        <v/>
      </c>
      <c r="E73" t="str">
        <f>IF(A73="","",COUNTIFS('Player Game Stats'!$B$4:$B$500,A73,'Player Game Stats'!$D$4:$D$500,"Yes"))</f>
        <v/>
      </c>
      <c r="F73" t="str">
        <f>IF(A73="","",SUMIFS('Player Game Stats'!$E$4:$E$500,'Player Game Stats'!$B$4:$B$500,A73))</f>
        <v/>
      </c>
      <c r="G73" t="str">
        <f>IF(A73="","",SUMIFS('Player Game Stats'!$F$4:$F$500,'Player Game Stats'!$B$4:$B$500,A73))</f>
        <v/>
      </c>
      <c r="H73" t="str">
        <f t="shared" si="2"/>
        <v/>
      </c>
      <c r="I73" t="str">
        <f>IF(A73="","",SUMIFS('Player Game Stats'!$H$4:$H$500,'Player Game Stats'!$B$4:$B$500,A73))</f>
        <v/>
      </c>
      <c r="J73" t="str">
        <f>IF(A73="","",SUMIFS('Player Game Stats'!$I$4:$I$500,'Player Game Stats'!$B$4:$B$500,A73))</f>
        <v/>
      </c>
    </row>
    <row r="74" spans="1:10">
      <c r="A74" t="str">
        <f>IF(Players!A74="","",Players!A74)</f>
        <v/>
      </c>
      <c r="B74" t="str">
        <f>IF(A74="","",IFERROR(VLOOKUP(A74,Players!$A$4:$D$200,2,FALSE),""))</f>
        <v/>
      </c>
      <c r="C74" t="str">
        <f>IF(A74="","",IFERROR(VLOOKUP(A74,Players!$A$4:$D$200,3,FALSE),""))</f>
        <v/>
      </c>
      <c r="D74" t="str">
        <f>IF(A74="","",IFERROR(VLOOKUP(A74,Players!$A$4:$D$200,4,FALSE),""))</f>
        <v/>
      </c>
      <c r="E74" t="str">
        <f>IF(A74="","",COUNTIFS('Player Game Stats'!$B$4:$B$500,A74,'Player Game Stats'!$D$4:$D$500,"Yes"))</f>
        <v/>
      </c>
      <c r="F74" t="str">
        <f>IF(A74="","",SUMIFS('Player Game Stats'!$E$4:$E$500,'Player Game Stats'!$B$4:$B$500,A74))</f>
        <v/>
      </c>
      <c r="G74" t="str">
        <f>IF(A74="","",SUMIFS('Player Game Stats'!$F$4:$F$500,'Player Game Stats'!$B$4:$B$500,A74))</f>
        <v/>
      </c>
      <c r="H74" t="str">
        <f t="shared" si="2"/>
        <v/>
      </c>
      <c r="I74" t="str">
        <f>IF(A74="","",SUMIFS('Player Game Stats'!$H$4:$H$500,'Player Game Stats'!$B$4:$B$500,A74))</f>
        <v/>
      </c>
      <c r="J74" t="str">
        <f>IF(A74="","",SUMIFS('Player Game Stats'!$I$4:$I$500,'Player Game Stats'!$B$4:$B$500,A74))</f>
        <v/>
      </c>
    </row>
    <row r="75" spans="1:10">
      <c r="A75" t="str">
        <f>IF(Players!A75="","",Players!A75)</f>
        <v/>
      </c>
      <c r="B75" t="str">
        <f>IF(A75="","",IFERROR(VLOOKUP(A75,Players!$A$4:$D$200,2,FALSE),""))</f>
        <v/>
      </c>
      <c r="C75" t="str">
        <f>IF(A75="","",IFERROR(VLOOKUP(A75,Players!$A$4:$D$200,3,FALSE),""))</f>
        <v/>
      </c>
      <c r="D75" t="str">
        <f>IF(A75="","",IFERROR(VLOOKUP(A75,Players!$A$4:$D$200,4,FALSE),""))</f>
        <v/>
      </c>
      <c r="E75" t="str">
        <f>IF(A75="","",COUNTIFS('Player Game Stats'!$B$4:$B$500,A75,'Player Game Stats'!$D$4:$D$500,"Yes"))</f>
        <v/>
      </c>
      <c r="F75" t="str">
        <f>IF(A75="","",SUMIFS('Player Game Stats'!$E$4:$E$500,'Player Game Stats'!$B$4:$B$500,A75))</f>
        <v/>
      </c>
      <c r="G75" t="str">
        <f>IF(A75="","",SUMIFS('Player Game Stats'!$F$4:$F$500,'Player Game Stats'!$B$4:$B$500,A75))</f>
        <v/>
      </c>
      <c r="H75" t="str">
        <f t="shared" si="2"/>
        <v/>
      </c>
      <c r="I75" t="str">
        <f>IF(A75="","",SUMIFS('Player Game Stats'!$H$4:$H$500,'Player Game Stats'!$B$4:$B$500,A75))</f>
        <v/>
      </c>
      <c r="J75" t="str">
        <f>IF(A75="","",SUMIFS('Player Game Stats'!$I$4:$I$500,'Player Game Stats'!$B$4:$B$500,A75))</f>
        <v/>
      </c>
    </row>
    <row r="76" spans="1:10">
      <c r="A76" t="str">
        <f>IF(Players!A76="","",Players!A76)</f>
        <v/>
      </c>
      <c r="B76" t="str">
        <f>IF(A76="","",IFERROR(VLOOKUP(A76,Players!$A$4:$D$200,2,FALSE),""))</f>
        <v/>
      </c>
      <c r="C76" t="str">
        <f>IF(A76="","",IFERROR(VLOOKUP(A76,Players!$A$4:$D$200,3,FALSE),""))</f>
        <v/>
      </c>
      <c r="D76" t="str">
        <f>IF(A76="","",IFERROR(VLOOKUP(A76,Players!$A$4:$D$200,4,FALSE),""))</f>
        <v/>
      </c>
      <c r="E76" t="str">
        <f>IF(A76="","",COUNTIFS('Player Game Stats'!$B$4:$B$500,A76,'Player Game Stats'!$D$4:$D$500,"Yes"))</f>
        <v/>
      </c>
      <c r="F76" t="str">
        <f>IF(A76="","",SUMIFS('Player Game Stats'!$E$4:$E$500,'Player Game Stats'!$B$4:$B$500,A76))</f>
        <v/>
      </c>
      <c r="G76" t="str">
        <f>IF(A76="","",SUMIFS('Player Game Stats'!$F$4:$F$500,'Player Game Stats'!$B$4:$B$500,A76))</f>
        <v/>
      </c>
      <c r="H76" t="str">
        <f t="shared" si="2"/>
        <v/>
      </c>
      <c r="I76" t="str">
        <f>IF(A76="","",SUMIFS('Player Game Stats'!$H$4:$H$500,'Player Game Stats'!$B$4:$B$500,A76))</f>
        <v/>
      </c>
      <c r="J76" t="str">
        <f>IF(A76="","",SUMIFS('Player Game Stats'!$I$4:$I$500,'Player Game Stats'!$B$4:$B$500,A76))</f>
        <v/>
      </c>
    </row>
    <row r="77" spans="1:10">
      <c r="A77" t="str">
        <f>IF(Players!A77="","",Players!A77)</f>
        <v/>
      </c>
      <c r="B77" t="str">
        <f>IF(A77="","",IFERROR(VLOOKUP(A77,Players!$A$4:$D$200,2,FALSE),""))</f>
        <v/>
      </c>
      <c r="C77" t="str">
        <f>IF(A77="","",IFERROR(VLOOKUP(A77,Players!$A$4:$D$200,3,FALSE),""))</f>
        <v/>
      </c>
      <c r="D77" t="str">
        <f>IF(A77="","",IFERROR(VLOOKUP(A77,Players!$A$4:$D$200,4,FALSE),""))</f>
        <v/>
      </c>
      <c r="E77" t="str">
        <f>IF(A77="","",COUNTIFS('Player Game Stats'!$B$4:$B$500,A77,'Player Game Stats'!$D$4:$D$500,"Yes"))</f>
        <v/>
      </c>
      <c r="F77" t="str">
        <f>IF(A77="","",SUMIFS('Player Game Stats'!$E$4:$E$500,'Player Game Stats'!$B$4:$B$500,A77))</f>
        <v/>
      </c>
      <c r="G77" t="str">
        <f>IF(A77="","",SUMIFS('Player Game Stats'!$F$4:$F$500,'Player Game Stats'!$B$4:$B$500,A77))</f>
        <v/>
      </c>
      <c r="H77" t="str">
        <f t="shared" si="2"/>
        <v/>
      </c>
      <c r="I77" t="str">
        <f>IF(A77="","",SUMIFS('Player Game Stats'!$H$4:$H$500,'Player Game Stats'!$B$4:$B$500,A77))</f>
        <v/>
      </c>
      <c r="J77" t="str">
        <f>IF(A77="","",SUMIFS('Player Game Stats'!$I$4:$I$500,'Player Game Stats'!$B$4:$B$500,A77))</f>
        <v/>
      </c>
    </row>
    <row r="78" spans="1:10">
      <c r="A78" t="str">
        <f>IF(Players!A78="","",Players!A78)</f>
        <v/>
      </c>
      <c r="B78" t="str">
        <f>IF(A78="","",IFERROR(VLOOKUP(A78,Players!$A$4:$D$200,2,FALSE),""))</f>
        <v/>
      </c>
      <c r="C78" t="str">
        <f>IF(A78="","",IFERROR(VLOOKUP(A78,Players!$A$4:$D$200,3,FALSE),""))</f>
        <v/>
      </c>
      <c r="D78" t="str">
        <f>IF(A78="","",IFERROR(VLOOKUP(A78,Players!$A$4:$D$200,4,FALSE),""))</f>
        <v/>
      </c>
      <c r="E78" t="str">
        <f>IF(A78="","",COUNTIFS('Player Game Stats'!$B$4:$B$500,A78,'Player Game Stats'!$D$4:$D$500,"Yes"))</f>
        <v/>
      </c>
      <c r="F78" t="str">
        <f>IF(A78="","",SUMIFS('Player Game Stats'!$E$4:$E$500,'Player Game Stats'!$B$4:$B$500,A78))</f>
        <v/>
      </c>
      <c r="G78" t="str">
        <f>IF(A78="","",SUMIFS('Player Game Stats'!$F$4:$F$500,'Player Game Stats'!$B$4:$B$500,A78))</f>
        <v/>
      </c>
      <c r="H78" t="str">
        <f t="shared" si="2"/>
        <v/>
      </c>
      <c r="I78" t="str">
        <f>IF(A78="","",SUMIFS('Player Game Stats'!$H$4:$H$500,'Player Game Stats'!$B$4:$B$500,A78))</f>
        <v/>
      </c>
      <c r="J78" t="str">
        <f>IF(A78="","",SUMIFS('Player Game Stats'!$I$4:$I$500,'Player Game Stats'!$B$4:$B$500,A78))</f>
        <v/>
      </c>
    </row>
    <row r="79" spans="1:10">
      <c r="A79" t="str">
        <f>IF(Players!A79="","",Players!A79)</f>
        <v/>
      </c>
      <c r="B79" t="str">
        <f>IF(A79="","",IFERROR(VLOOKUP(A79,Players!$A$4:$D$200,2,FALSE),""))</f>
        <v/>
      </c>
      <c r="C79" t="str">
        <f>IF(A79="","",IFERROR(VLOOKUP(A79,Players!$A$4:$D$200,3,FALSE),""))</f>
        <v/>
      </c>
      <c r="D79" t="str">
        <f>IF(A79="","",IFERROR(VLOOKUP(A79,Players!$A$4:$D$200,4,FALSE),""))</f>
        <v/>
      </c>
      <c r="E79" t="str">
        <f>IF(A79="","",COUNTIFS('Player Game Stats'!$B$4:$B$500,A79,'Player Game Stats'!$D$4:$D$500,"Yes"))</f>
        <v/>
      </c>
      <c r="F79" t="str">
        <f>IF(A79="","",SUMIFS('Player Game Stats'!$E$4:$E$500,'Player Game Stats'!$B$4:$B$500,A79))</f>
        <v/>
      </c>
      <c r="G79" t="str">
        <f>IF(A79="","",SUMIFS('Player Game Stats'!$F$4:$F$500,'Player Game Stats'!$B$4:$B$500,A79))</f>
        <v/>
      </c>
      <c r="H79" t="str">
        <f t="shared" si="2"/>
        <v/>
      </c>
      <c r="I79" t="str">
        <f>IF(A79="","",SUMIFS('Player Game Stats'!$H$4:$H$500,'Player Game Stats'!$B$4:$B$500,A79))</f>
        <v/>
      </c>
      <c r="J79" t="str">
        <f>IF(A79="","",SUMIFS('Player Game Stats'!$I$4:$I$500,'Player Game Stats'!$B$4:$B$500,A79))</f>
        <v/>
      </c>
    </row>
    <row r="80" spans="1:10">
      <c r="A80" t="str">
        <f>IF(Players!A80="","",Players!A80)</f>
        <v/>
      </c>
      <c r="B80" t="str">
        <f>IF(A80="","",IFERROR(VLOOKUP(A80,Players!$A$4:$D$200,2,FALSE),""))</f>
        <v/>
      </c>
      <c r="C80" t="str">
        <f>IF(A80="","",IFERROR(VLOOKUP(A80,Players!$A$4:$D$200,3,FALSE),""))</f>
        <v/>
      </c>
      <c r="D80" t="str">
        <f>IF(A80="","",IFERROR(VLOOKUP(A80,Players!$A$4:$D$200,4,FALSE),""))</f>
        <v/>
      </c>
      <c r="E80" t="str">
        <f>IF(A80="","",COUNTIFS('Player Game Stats'!$B$4:$B$500,A80,'Player Game Stats'!$D$4:$D$500,"Yes"))</f>
        <v/>
      </c>
      <c r="F80" t="str">
        <f>IF(A80="","",SUMIFS('Player Game Stats'!$E$4:$E$500,'Player Game Stats'!$B$4:$B$500,A80))</f>
        <v/>
      </c>
      <c r="G80" t="str">
        <f>IF(A80="","",SUMIFS('Player Game Stats'!$F$4:$F$500,'Player Game Stats'!$B$4:$B$500,A80))</f>
        <v/>
      </c>
      <c r="H80" t="str">
        <f t="shared" si="2"/>
        <v/>
      </c>
      <c r="I80" t="str">
        <f>IF(A80="","",SUMIFS('Player Game Stats'!$H$4:$H$500,'Player Game Stats'!$B$4:$B$500,A80))</f>
        <v/>
      </c>
      <c r="J80" t="str">
        <f>IF(A80="","",SUMIFS('Player Game Stats'!$I$4:$I$500,'Player Game Stats'!$B$4:$B$500,A80))</f>
        <v/>
      </c>
    </row>
    <row r="81" spans="1:10">
      <c r="A81" t="str">
        <f>IF(Players!A81="","",Players!A81)</f>
        <v/>
      </c>
      <c r="B81" t="str">
        <f>IF(A81="","",IFERROR(VLOOKUP(A81,Players!$A$4:$D$200,2,FALSE),""))</f>
        <v/>
      </c>
      <c r="C81" t="str">
        <f>IF(A81="","",IFERROR(VLOOKUP(A81,Players!$A$4:$D$200,3,FALSE),""))</f>
        <v/>
      </c>
      <c r="D81" t="str">
        <f>IF(A81="","",IFERROR(VLOOKUP(A81,Players!$A$4:$D$200,4,FALSE),""))</f>
        <v/>
      </c>
      <c r="E81" t="str">
        <f>IF(A81="","",COUNTIFS('Player Game Stats'!$B$4:$B$500,A81,'Player Game Stats'!$D$4:$D$500,"Yes"))</f>
        <v/>
      </c>
      <c r="F81" t="str">
        <f>IF(A81="","",SUMIFS('Player Game Stats'!$E$4:$E$500,'Player Game Stats'!$B$4:$B$500,A81))</f>
        <v/>
      </c>
      <c r="G81" t="str">
        <f>IF(A81="","",SUMIFS('Player Game Stats'!$F$4:$F$500,'Player Game Stats'!$B$4:$B$500,A81))</f>
        <v/>
      </c>
      <c r="H81" t="str">
        <f t="shared" si="2"/>
        <v/>
      </c>
      <c r="I81" t="str">
        <f>IF(A81="","",SUMIFS('Player Game Stats'!$H$4:$H$500,'Player Game Stats'!$B$4:$B$500,A81))</f>
        <v/>
      </c>
      <c r="J81" t="str">
        <f>IF(A81="","",SUMIFS('Player Game Stats'!$I$4:$I$500,'Player Game Stats'!$B$4:$B$500,A81))</f>
        <v/>
      </c>
    </row>
    <row r="82" spans="1:10">
      <c r="A82" t="str">
        <f>IF(Players!A82="","",Players!A82)</f>
        <v/>
      </c>
      <c r="B82" t="str">
        <f>IF(A82="","",IFERROR(VLOOKUP(A82,Players!$A$4:$D$200,2,FALSE),""))</f>
        <v/>
      </c>
      <c r="C82" t="str">
        <f>IF(A82="","",IFERROR(VLOOKUP(A82,Players!$A$4:$D$200,3,FALSE),""))</f>
        <v/>
      </c>
      <c r="D82" t="str">
        <f>IF(A82="","",IFERROR(VLOOKUP(A82,Players!$A$4:$D$200,4,FALSE),""))</f>
        <v/>
      </c>
      <c r="E82" t="str">
        <f>IF(A82="","",COUNTIFS('Player Game Stats'!$B$4:$B$500,A82,'Player Game Stats'!$D$4:$D$500,"Yes"))</f>
        <v/>
      </c>
      <c r="F82" t="str">
        <f>IF(A82="","",SUMIFS('Player Game Stats'!$E$4:$E$500,'Player Game Stats'!$B$4:$B$500,A82))</f>
        <v/>
      </c>
      <c r="G82" t="str">
        <f>IF(A82="","",SUMIFS('Player Game Stats'!$F$4:$F$500,'Player Game Stats'!$B$4:$B$500,A82))</f>
        <v/>
      </c>
      <c r="H82" t="str">
        <f t="shared" si="2"/>
        <v/>
      </c>
      <c r="I82" t="str">
        <f>IF(A82="","",SUMIFS('Player Game Stats'!$H$4:$H$500,'Player Game Stats'!$B$4:$B$500,A82))</f>
        <v/>
      </c>
      <c r="J82" t="str">
        <f>IF(A82="","",SUMIFS('Player Game Stats'!$I$4:$I$500,'Player Game Stats'!$B$4:$B$500,A82))</f>
        <v/>
      </c>
    </row>
    <row r="83" spans="1:10">
      <c r="A83" t="str">
        <f>IF(Players!A83="","",Players!A83)</f>
        <v/>
      </c>
      <c r="B83" t="str">
        <f>IF(A83="","",IFERROR(VLOOKUP(A83,Players!$A$4:$D$200,2,FALSE),""))</f>
        <v/>
      </c>
      <c r="C83" t="str">
        <f>IF(A83="","",IFERROR(VLOOKUP(A83,Players!$A$4:$D$200,3,FALSE),""))</f>
        <v/>
      </c>
      <c r="D83" t="str">
        <f>IF(A83="","",IFERROR(VLOOKUP(A83,Players!$A$4:$D$200,4,FALSE),""))</f>
        <v/>
      </c>
      <c r="E83" t="str">
        <f>IF(A83="","",COUNTIFS('Player Game Stats'!$B$4:$B$500,A83,'Player Game Stats'!$D$4:$D$500,"Yes"))</f>
        <v/>
      </c>
      <c r="F83" t="str">
        <f>IF(A83="","",SUMIFS('Player Game Stats'!$E$4:$E$500,'Player Game Stats'!$B$4:$B$500,A83))</f>
        <v/>
      </c>
      <c r="G83" t="str">
        <f>IF(A83="","",SUMIFS('Player Game Stats'!$F$4:$F$500,'Player Game Stats'!$B$4:$B$500,A83))</f>
        <v/>
      </c>
      <c r="H83" t="str">
        <f t="shared" si="2"/>
        <v/>
      </c>
      <c r="I83" t="str">
        <f>IF(A83="","",SUMIFS('Player Game Stats'!$H$4:$H$500,'Player Game Stats'!$B$4:$B$500,A83))</f>
        <v/>
      </c>
      <c r="J83" t="str">
        <f>IF(A83="","",SUMIFS('Player Game Stats'!$I$4:$I$500,'Player Game Stats'!$B$4:$B$500,A83))</f>
        <v/>
      </c>
    </row>
    <row r="84" spans="1:10">
      <c r="A84" t="str">
        <f>IF(Players!A84="","",Players!A84)</f>
        <v/>
      </c>
      <c r="B84" t="str">
        <f>IF(A84="","",IFERROR(VLOOKUP(A84,Players!$A$4:$D$200,2,FALSE),""))</f>
        <v/>
      </c>
      <c r="C84" t="str">
        <f>IF(A84="","",IFERROR(VLOOKUP(A84,Players!$A$4:$D$200,3,FALSE),""))</f>
        <v/>
      </c>
      <c r="D84" t="str">
        <f>IF(A84="","",IFERROR(VLOOKUP(A84,Players!$A$4:$D$200,4,FALSE),""))</f>
        <v/>
      </c>
      <c r="E84" t="str">
        <f>IF(A84="","",COUNTIFS('Player Game Stats'!$B$4:$B$500,A84,'Player Game Stats'!$D$4:$D$500,"Yes"))</f>
        <v/>
      </c>
      <c r="F84" t="str">
        <f>IF(A84="","",SUMIFS('Player Game Stats'!$E$4:$E$500,'Player Game Stats'!$B$4:$B$500,A84))</f>
        <v/>
      </c>
      <c r="G84" t="str">
        <f>IF(A84="","",SUMIFS('Player Game Stats'!$F$4:$F$500,'Player Game Stats'!$B$4:$B$500,A84))</f>
        <v/>
      </c>
      <c r="H84" t="str">
        <f t="shared" si="2"/>
        <v/>
      </c>
      <c r="I84" t="str">
        <f>IF(A84="","",SUMIFS('Player Game Stats'!$H$4:$H$500,'Player Game Stats'!$B$4:$B$500,A84))</f>
        <v/>
      </c>
      <c r="J84" t="str">
        <f>IF(A84="","",SUMIFS('Player Game Stats'!$I$4:$I$500,'Player Game Stats'!$B$4:$B$500,A84))</f>
        <v/>
      </c>
    </row>
    <row r="85" spans="1:10">
      <c r="A85" t="str">
        <f>IF(Players!A85="","",Players!A85)</f>
        <v/>
      </c>
      <c r="B85" t="str">
        <f>IF(A85="","",IFERROR(VLOOKUP(A85,Players!$A$4:$D$200,2,FALSE),""))</f>
        <v/>
      </c>
      <c r="C85" t="str">
        <f>IF(A85="","",IFERROR(VLOOKUP(A85,Players!$A$4:$D$200,3,FALSE),""))</f>
        <v/>
      </c>
      <c r="D85" t="str">
        <f>IF(A85="","",IFERROR(VLOOKUP(A85,Players!$A$4:$D$200,4,FALSE),""))</f>
        <v/>
      </c>
      <c r="E85" t="str">
        <f>IF(A85="","",COUNTIFS('Player Game Stats'!$B$4:$B$500,A85,'Player Game Stats'!$D$4:$D$500,"Yes"))</f>
        <v/>
      </c>
      <c r="F85" t="str">
        <f>IF(A85="","",SUMIFS('Player Game Stats'!$E$4:$E$500,'Player Game Stats'!$B$4:$B$500,A85))</f>
        <v/>
      </c>
      <c r="G85" t="str">
        <f>IF(A85="","",SUMIFS('Player Game Stats'!$F$4:$F$500,'Player Game Stats'!$B$4:$B$500,A85))</f>
        <v/>
      </c>
      <c r="H85" t="str">
        <f t="shared" si="2"/>
        <v/>
      </c>
      <c r="I85" t="str">
        <f>IF(A85="","",SUMIFS('Player Game Stats'!$H$4:$H$500,'Player Game Stats'!$B$4:$B$500,A85))</f>
        <v/>
      </c>
      <c r="J85" t="str">
        <f>IF(A85="","",SUMIFS('Player Game Stats'!$I$4:$I$500,'Player Game Stats'!$B$4:$B$500,A85))</f>
        <v/>
      </c>
    </row>
    <row r="86" spans="1:10">
      <c r="A86" t="str">
        <f>IF(Players!A86="","",Players!A86)</f>
        <v/>
      </c>
      <c r="B86" t="str">
        <f>IF(A86="","",IFERROR(VLOOKUP(A86,Players!$A$4:$D$200,2,FALSE),""))</f>
        <v/>
      </c>
      <c r="C86" t="str">
        <f>IF(A86="","",IFERROR(VLOOKUP(A86,Players!$A$4:$D$200,3,FALSE),""))</f>
        <v/>
      </c>
      <c r="D86" t="str">
        <f>IF(A86="","",IFERROR(VLOOKUP(A86,Players!$A$4:$D$200,4,FALSE),""))</f>
        <v/>
      </c>
      <c r="E86" t="str">
        <f>IF(A86="","",COUNTIFS('Player Game Stats'!$B$4:$B$500,A86,'Player Game Stats'!$D$4:$D$500,"Yes"))</f>
        <v/>
      </c>
      <c r="F86" t="str">
        <f>IF(A86="","",SUMIFS('Player Game Stats'!$E$4:$E$500,'Player Game Stats'!$B$4:$B$500,A86))</f>
        <v/>
      </c>
      <c r="G86" t="str">
        <f>IF(A86="","",SUMIFS('Player Game Stats'!$F$4:$F$500,'Player Game Stats'!$B$4:$B$500,A86))</f>
        <v/>
      </c>
      <c r="H86" t="str">
        <f t="shared" si="2"/>
        <v/>
      </c>
      <c r="I86" t="str">
        <f>IF(A86="","",SUMIFS('Player Game Stats'!$H$4:$H$500,'Player Game Stats'!$B$4:$B$500,A86))</f>
        <v/>
      </c>
      <c r="J86" t="str">
        <f>IF(A86="","",SUMIFS('Player Game Stats'!$I$4:$I$500,'Player Game Stats'!$B$4:$B$500,A86))</f>
        <v/>
      </c>
    </row>
    <row r="87" spans="1:10">
      <c r="A87" t="str">
        <f>IF(Players!A87="","",Players!A87)</f>
        <v/>
      </c>
      <c r="B87" t="str">
        <f>IF(A87="","",IFERROR(VLOOKUP(A87,Players!$A$4:$D$200,2,FALSE),""))</f>
        <v/>
      </c>
      <c r="C87" t="str">
        <f>IF(A87="","",IFERROR(VLOOKUP(A87,Players!$A$4:$D$200,3,FALSE),""))</f>
        <v/>
      </c>
      <c r="D87" t="str">
        <f>IF(A87="","",IFERROR(VLOOKUP(A87,Players!$A$4:$D$200,4,FALSE),""))</f>
        <v/>
      </c>
      <c r="E87" t="str">
        <f>IF(A87="","",COUNTIFS('Player Game Stats'!$B$4:$B$500,A87,'Player Game Stats'!$D$4:$D$500,"Yes"))</f>
        <v/>
      </c>
      <c r="F87" t="str">
        <f>IF(A87="","",SUMIFS('Player Game Stats'!$E$4:$E$500,'Player Game Stats'!$B$4:$B$500,A87))</f>
        <v/>
      </c>
      <c r="G87" t="str">
        <f>IF(A87="","",SUMIFS('Player Game Stats'!$F$4:$F$500,'Player Game Stats'!$B$4:$B$500,A87))</f>
        <v/>
      </c>
      <c r="H87" t="str">
        <f t="shared" si="2"/>
        <v/>
      </c>
      <c r="I87" t="str">
        <f>IF(A87="","",SUMIFS('Player Game Stats'!$H$4:$H$500,'Player Game Stats'!$B$4:$B$500,A87))</f>
        <v/>
      </c>
      <c r="J87" t="str">
        <f>IF(A87="","",SUMIFS('Player Game Stats'!$I$4:$I$500,'Player Game Stats'!$B$4:$B$500,A87))</f>
        <v/>
      </c>
    </row>
    <row r="88" spans="1:10">
      <c r="A88" t="str">
        <f>IF(Players!A88="","",Players!A88)</f>
        <v/>
      </c>
      <c r="B88" t="str">
        <f>IF(A88="","",IFERROR(VLOOKUP(A88,Players!$A$4:$D$200,2,FALSE),""))</f>
        <v/>
      </c>
      <c r="C88" t="str">
        <f>IF(A88="","",IFERROR(VLOOKUP(A88,Players!$A$4:$D$200,3,FALSE),""))</f>
        <v/>
      </c>
      <c r="D88" t="str">
        <f>IF(A88="","",IFERROR(VLOOKUP(A88,Players!$A$4:$D$200,4,FALSE),""))</f>
        <v/>
      </c>
      <c r="E88" t="str">
        <f>IF(A88="","",COUNTIFS('Player Game Stats'!$B$4:$B$500,A88,'Player Game Stats'!$D$4:$D$500,"Yes"))</f>
        <v/>
      </c>
      <c r="F88" t="str">
        <f>IF(A88="","",SUMIFS('Player Game Stats'!$E$4:$E$500,'Player Game Stats'!$B$4:$B$500,A88))</f>
        <v/>
      </c>
      <c r="G88" t="str">
        <f>IF(A88="","",SUMIFS('Player Game Stats'!$F$4:$F$500,'Player Game Stats'!$B$4:$B$500,A88))</f>
        <v/>
      </c>
      <c r="H88" t="str">
        <f t="shared" si="2"/>
        <v/>
      </c>
      <c r="I88" t="str">
        <f>IF(A88="","",SUMIFS('Player Game Stats'!$H$4:$H$500,'Player Game Stats'!$B$4:$B$500,A88))</f>
        <v/>
      </c>
      <c r="J88" t="str">
        <f>IF(A88="","",SUMIFS('Player Game Stats'!$I$4:$I$500,'Player Game Stats'!$B$4:$B$500,A88))</f>
        <v/>
      </c>
    </row>
    <row r="89" spans="1:10">
      <c r="A89" t="str">
        <f>IF(Players!A89="","",Players!A89)</f>
        <v/>
      </c>
      <c r="B89" t="str">
        <f>IF(A89="","",IFERROR(VLOOKUP(A89,Players!$A$4:$D$200,2,FALSE),""))</f>
        <v/>
      </c>
      <c r="C89" t="str">
        <f>IF(A89="","",IFERROR(VLOOKUP(A89,Players!$A$4:$D$200,3,FALSE),""))</f>
        <v/>
      </c>
      <c r="D89" t="str">
        <f>IF(A89="","",IFERROR(VLOOKUP(A89,Players!$A$4:$D$200,4,FALSE),""))</f>
        <v/>
      </c>
      <c r="E89" t="str">
        <f>IF(A89="","",COUNTIFS('Player Game Stats'!$B$4:$B$500,A89,'Player Game Stats'!$D$4:$D$500,"Yes"))</f>
        <v/>
      </c>
      <c r="F89" t="str">
        <f>IF(A89="","",SUMIFS('Player Game Stats'!$E$4:$E$500,'Player Game Stats'!$B$4:$B$500,A89))</f>
        <v/>
      </c>
      <c r="G89" t="str">
        <f>IF(A89="","",SUMIFS('Player Game Stats'!$F$4:$F$500,'Player Game Stats'!$B$4:$B$500,A89))</f>
        <v/>
      </c>
      <c r="H89" t="str">
        <f t="shared" si="2"/>
        <v/>
      </c>
      <c r="I89" t="str">
        <f>IF(A89="","",SUMIFS('Player Game Stats'!$H$4:$H$500,'Player Game Stats'!$B$4:$B$500,A89))</f>
        <v/>
      </c>
      <c r="J89" t="str">
        <f>IF(A89="","",SUMIFS('Player Game Stats'!$I$4:$I$500,'Player Game Stats'!$B$4:$B$500,A89))</f>
        <v/>
      </c>
    </row>
    <row r="90" spans="1:10">
      <c r="A90" t="str">
        <f>IF(Players!A90="","",Players!A90)</f>
        <v/>
      </c>
      <c r="B90" t="str">
        <f>IF(A90="","",IFERROR(VLOOKUP(A90,Players!$A$4:$D$200,2,FALSE),""))</f>
        <v/>
      </c>
      <c r="C90" t="str">
        <f>IF(A90="","",IFERROR(VLOOKUP(A90,Players!$A$4:$D$200,3,FALSE),""))</f>
        <v/>
      </c>
      <c r="D90" t="str">
        <f>IF(A90="","",IFERROR(VLOOKUP(A90,Players!$A$4:$D$200,4,FALSE),""))</f>
        <v/>
      </c>
      <c r="E90" t="str">
        <f>IF(A90="","",COUNTIFS('Player Game Stats'!$B$4:$B$500,A90,'Player Game Stats'!$D$4:$D$500,"Yes"))</f>
        <v/>
      </c>
      <c r="F90" t="str">
        <f>IF(A90="","",SUMIFS('Player Game Stats'!$E$4:$E$500,'Player Game Stats'!$B$4:$B$500,A90))</f>
        <v/>
      </c>
      <c r="G90" t="str">
        <f>IF(A90="","",SUMIFS('Player Game Stats'!$F$4:$F$500,'Player Game Stats'!$B$4:$B$500,A90))</f>
        <v/>
      </c>
      <c r="H90" t="str">
        <f t="shared" si="2"/>
        <v/>
      </c>
      <c r="I90" t="str">
        <f>IF(A90="","",SUMIFS('Player Game Stats'!$H$4:$H$500,'Player Game Stats'!$B$4:$B$500,A90))</f>
        <v/>
      </c>
      <c r="J90" t="str">
        <f>IF(A90="","",SUMIFS('Player Game Stats'!$I$4:$I$500,'Player Game Stats'!$B$4:$B$500,A90))</f>
        <v/>
      </c>
    </row>
    <row r="91" spans="1:10">
      <c r="A91" t="str">
        <f>IF(Players!A91="","",Players!A91)</f>
        <v/>
      </c>
      <c r="B91" t="str">
        <f>IF(A91="","",IFERROR(VLOOKUP(A91,Players!$A$4:$D$200,2,FALSE),""))</f>
        <v/>
      </c>
      <c r="C91" t="str">
        <f>IF(A91="","",IFERROR(VLOOKUP(A91,Players!$A$4:$D$200,3,FALSE),""))</f>
        <v/>
      </c>
      <c r="D91" t="str">
        <f>IF(A91="","",IFERROR(VLOOKUP(A91,Players!$A$4:$D$200,4,FALSE),""))</f>
        <v/>
      </c>
      <c r="E91" t="str">
        <f>IF(A91="","",COUNTIFS('Player Game Stats'!$B$4:$B$500,A91,'Player Game Stats'!$D$4:$D$500,"Yes"))</f>
        <v/>
      </c>
      <c r="F91" t="str">
        <f>IF(A91="","",SUMIFS('Player Game Stats'!$E$4:$E$500,'Player Game Stats'!$B$4:$B$500,A91))</f>
        <v/>
      </c>
      <c r="G91" t="str">
        <f>IF(A91="","",SUMIFS('Player Game Stats'!$F$4:$F$500,'Player Game Stats'!$B$4:$B$500,A91))</f>
        <v/>
      </c>
      <c r="H91" t="str">
        <f t="shared" si="2"/>
        <v/>
      </c>
      <c r="I91" t="str">
        <f>IF(A91="","",SUMIFS('Player Game Stats'!$H$4:$H$500,'Player Game Stats'!$B$4:$B$500,A91))</f>
        <v/>
      </c>
      <c r="J91" t="str">
        <f>IF(A91="","",SUMIFS('Player Game Stats'!$I$4:$I$500,'Player Game Stats'!$B$4:$B$500,A91))</f>
        <v/>
      </c>
    </row>
    <row r="92" spans="1:10">
      <c r="A92" t="str">
        <f>IF(Players!A92="","",Players!A92)</f>
        <v/>
      </c>
      <c r="B92" t="str">
        <f>IF(A92="","",IFERROR(VLOOKUP(A92,Players!$A$4:$D$200,2,FALSE),""))</f>
        <v/>
      </c>
      <c r="C92" t="str">
        <f>IF(A92="","",IFERROR(VLOOKUP(A92,Players!$A$4:$D$200,3,FALSE),""))</f>
        <v/>
      </c>
      <c r="D92" t="str">
        <f>IF(A92="","",IFERROR(VLOOKUP(A92,Players!$A$4:$D$200,4,FALSE),""))</f>
        <v/>
      </c>
      <c r="E92" t="str">
        <f>IF(A92="","",COUNTIFS('Player Game Stats'!$B$4:$B$500,A92,'Player Game Stats'!$D$4:$D$500,"Yes"))</f>
        <v/>
      </c>
      <c r="F92" t="str">
        <f>IF(A92="","",SUMIFS('Player Game Stats'!$E$4:$E$500,'Player Game Stats'!$B$4:$B$500,A92))</f>
        <v/>
      </c>
      <c r="G92" t="str">
        <f>IF(A92="","",SUMIFS('Player Game Stats'!$F$4:$F$500,'Player Game Stats'!$B$4:$B$500,A92))</f>
        <v/>
      </c>
      <c r="H92" t="str">
        <f t="shared" si="2"/>
        <v/>
      </c>
      <c r="I92" t="str">
        <f>IF(A92="","",SUMIFS('Player Game Stats'!$H$4:$H$500,'Player Game Stats'!$B$4:$B$500,A92))</f>
        <v/>
      </c>
      <c r="J92" t="str">
        <f>IF(A92="","",SUMIFS('Player Game Stats'!$I$4:$I$500,'Player Game Stats'!$B$4:$B$500,A92))</f>
        <v/>
      </c>
    </row>
    <row r="93" spans="1:10">
      <c r="A93" t="str">
        <f>IF(Players!A93="","",Players!A93)</f>
        <v/>
      </c>
      <c r="B93" t="str">
        <f>IF(A93="","",IFERROR(VLOOKUP(A93,Players!$A$4:$D$200,2,FALSE),""))</f>
        <v/>
      </c>
      <c r="C93" t="str">
        <f>IF(A93="","",IFERROR(VLOOKUP(A93,Players!$A$4:$D$200,3,FALSE),""))</f>
        <v/>
      </c>
      <c r="D93" t="str">
        <f>IF(A93="","",IFERROR(VLOOKUP(A93,Players!$A$4:$D$200,4,FALSE),""))</f>
        <v/>
      </c>
      <c r="E93" t="str">
        <f>IF(A93="","",COUNTIFS('Player Game Stats'!$B$4:$B$500,A93,'Player Game Stats'!$D$4:$D$500,"Yes"))</f>
        <v/>
      </c>
      <c r="F93" t="str">
        <f>IF(A93="","",SUMIFS('Player Game Stats'!$E$4:$E$500,'Player Game Stats'!$B$4:$B$500,A93))</f>
        <v/>
      </c>
      <c r="G93" t="str">
        <f>IF(A93="","",SUMIFS('Player Game Stats'!$F$4:$F$500,'Player Game Stats'!$B$4:$B$500,A93))</f>
        <v/>
      </c>
      <c r="H93" t="str">
        <f t="shared" si="2"/>
        <v/>
      </c>
      <c r="I93" t="str">
        <f>IF(A93="","",SUMIFS('Player Game Stats'!$H$4:$H$500,'Player Game Stats'!$B$4:$B$500,A93))</f>
        <v/>
      </c>
      <c r="J93" t="str">
        <f>IF(A93="","",SUMIFS('Player Game Stats'!$I$4:$I$500,'Player Game Stats'!$B$4:$B$500,A93))</f>
        <v/>
      </c>
    </row>
    <row r="94" spans="1:10">
      <c r="A94" t="str">
        <f>IF(Players!A94="","",Players!A94)</f>
        <v/>
      </c>
      <c r="B94" t="str">
        <f>IF(A94="","",IFERROR(VLOOKUP(A94,Players!$A$4:$D$200,2,FALSE),""))</f>
        <v/>
      </c>
      <c r="C94" t="str">
        <f>IF(A94="","",IFERROR(VLOOKUP(A94,Players!$A$4:$D$200,3,FALSE),""))</f>
        <v/>
      </c>
      <c r="D94" t="str">
        <f>IF(A94="","",IFERROR(VLOOKUP(A94,Players!$A$4:$D$200,4,FALSE),""))</f>
        <v/>
      </c>
      <c r="E94" t="str">
        <f>IF(A94="","",COUNTIFS('Player Game Stats'!$B$4:$B$500,A94,'Player Game Stats'!$D$4:$D$500,"Yes"))</f>
        <v/>
      </c>
      <c r="F94" t="str">
        <f>IF(A94="","",SUMIFS('Player Game Stats'!$E$4:$E$500,'Player Game Stats'!$B$4:$B$500,A94))</f>
        <v/>
      </c>
      <c r="G94" t="str">
        <f>IF(A94="","",SUMIFS('Player Game Stats'!$F$4:$F$500,'Player Game Stats'!$B$4:$B$500,A94))</f>
        <v/>
      </c>
      <c r="H94" t="str">
        <f t="shared" si="2"/>
        <v/>
      </c>
      <c r="I94" t="str">
        <f>IF(A94="","",SUMIFS('Player Game Stats'!$H$4:$H$500,'Player Game Stats'!$B$4:$B$500,A94))</f>
        <v/>
      </c>
      <c r="J94" t="str">
        <f>IF(A94="","",SUMIFS('Player Game Stats'!$I$4:$I$500,'Player Game Stats'!$B$4:$B$500,A94))</f>
        <v/>
      </c>
    </row>
    <row r="95" spans="1:10">
      <c r="A95" t="str">
        <f>IF(Players!A95="","",Players!A95)</f>
        <v/>
      </c>
      <c r="B95" t="str">
        <f>IF(A95="","",IFERROR(VLOOKUP(A95,Players!$A$4:$D$200,2,FALSE),""))</f>
        <v/>
      </c>
      <c r="C95" t="str">
        <f>IF(A95="","",IFERROR(VLOOKUP(A95,Players!$A$4:$D$200,3,FALSE),""))</f>
        <v/>
      </c>
      <c r="D95" t="str">
        <f>IF(A95="","",IFERROR(VLOOKUP(A95,Players!$A$4:$D$200,4,FALSE),""))</f>
        <v/>
      </c>
      <c r="E95" t="str">
        <f>IF(A95="","",COUNTIFS('Player Game Stats'!$B$4:$B$500,A95,'Player Game Stats'!$D$4:$D$500,"Yes"))</f>
        <v/>
      </c>
      <c r="F95" t="str">
        <f>IF(A95="","",SUMIFS('Player Game Stats'!$E$4:$E$500,'Player Game Stats'!$B$4:$B$500,A95))</f>
        <v/>
      </c>
      <c r="G95" t="str">
        <f>IF(A95="","",SUMIFS('Player Game Stats'!$F$4:$F$500,'Player Game Stats'!$B$4:$B$500,A95))</f>
        <v/>
      </c>
      <c r="H95" t="str">
        <f t="shared" si="2"/>
        <v/>
      </c>
      <c r="I95" t="str">
        <f>IF(A95="","",SUMIFS('Player Game Stats'!$H$4:$H$500,'Player Game Stats'!$B$4:$B$500,A95))</f>
        <v/>
      </c>
      <c r="J95" t="str">
        <f>IF(A95="","",SUMIFS('Player Game Stats'!$I$4:$I$500,'Player Game Stats'!$B$4:$B$500,A95))</f>
        <v/>
      </c>
    </row>
    <row r="96" spans="1:10">
      <c r="A96" t="str">
        <f>IF(Players!A96="","",Players!A96)</f>
        <v/>
      </c>
      <c r="B96" t="str">
        <f>IF(A96="","",IFERROR(VLOOKUP(A96,Players!$A$4:$D$200,2,FALSE),""))</f>
        <v/>
      </c>
      <c r="C96" t="str">
        <f>IF(A96="","",IFERROR(VLOOKUP(A96,Players!$A$4:$D$200,3,FALSE),""))</f>
        <v/>
      </c>
      <c r="D96" t="str">
        <f>IF(A96="","",IFERROR(VLOOKUP(A96,Players!$A$4:$D$200,4,FALSE),""))</f>
        <v/>
      </c>
      <c r="E96" t="str">
        <f>IF(A96="","",COUNTIFS('Player Game Stats'!$B$4:$B$500,A96,'Player Game Stats'!$D$4:$D$500,"Yes"))</f>
        <v/>
      </c>
      <c r="F96" t="str">
        <f>IF(A96="","",SUMIFS('Player Game Stats'!$E$4:$E$500,'Player Game Stats'!$B$4:$B$500,A96))</f>
        <v/>
      </c>
      <c r="G96" t="str">
        <f>IF(A96="","",SUMIFS('Player Game Stats'!$F$4:$F$500,'Player Game Stats'!$B$4:$B$500,A96))</f>
        <v/>
      </c>
      <c r="H96" t="str">
        <f t="shared" si="2"/>
        <v/>
      </c>
      <c r="I96" t="str">
        <f>IF(A96="","",SUMIFS('Player Game Stats'!$H$4:$H$500,'Player Game Stats'!$B$4:$B$500,A96))</f>
        <v/>
      </c>
      <c r="J96" t="str">
        <f>IF(A96="","",SUMIFS('Player Game Stats'!$I$4:$I$500,'Player Game Stats'!$B$4:$B$500,A96))</f>
        <v/>
      </c>
    </row>
    <row r="97" spans="1:10">
      <c r="A97" t="str">
        <f>IF(Players!A97="","",Players!A97)</f>
        <v/>
      </c>
      <c r="B97" t="str">
        <f>IF(A97="","",IFERROR(VLOOKUP(A97,Players!$A$4:$D$200,2,FALSE),""))</f>
        <v/>
      </c>
      <c r="C97" t="str">
        <f>IF(A97="","",IFERROR(VLOOKUP(A97,Players!$A$4:$D$200,3,FALSE),""))</f>
        <v/>
      </c>
      <c r="D97" t="str">
        <f>IF(A97="","",IFERROR(VLOOKUP(A97,Players!$A$4:$D$200,4,FALSE),""))</f>
        <v/>
      </c>
      <c r="E97" t="str">
        <f>IF(A97="","",COUNTIFS('Player Game Stats'!$B$4:$B$500,A97,'Player Game Stats'!$D$4:$D$500,"Yes"))</f>
        <v/>
      </c>
      <c r="F97" t="str">
        <f>IF(A97="","",SUMIFS('Player Game Stats'!$E$4:$E$500,'Player Game Stats'!$B$4:$B$500,A97))</f>
        <v/>
      </c>
      <c r="G97" t="str">
        <f>IF(A97="","",SUMIFS('Player Game Stats'!$F$4:$F$500,'Player Game Stats'!$B$4:$B$500,A97))</f>
        <v/>
      </c>
      <c r="H97" t="str">
        <f t="shared" si="2"/>
        <v/>
      </c>
      <c r="I97" t="str">
        <f>IF(A97="","",SUMIFS('Player Game Stats'!$H$4:$H$500,'Player Game Stats'!$B$4:$B$500,A97))</f>
        <v/>
      </c>
      <c r="J97" t="str">
        <f>IF(A97="","",SUMIFS('Player Game Stats'!$I$4:$I$500,'Player Game Stats'!$B$4:$B$500,A97))</f>
        <v/>
      </c>
    </row>
    <row r="98" spans="1:10">
      <c r="A98" t="str">
        <f>IF(Players!A98="","",Players!A98)</f>
        <v/>
      </c>
      <c r="B98" t="str">
        <f>IF(A98="","",IFERROR(VLOOKUP(A98,Players!$A$4:$D$200,2,FALSE),""))</f>
        <v/>
      </c>
      <c r="C98" t="str">
        <f>IF(A98="","",IFERROR(VLOOKUP(A98,Players!$A$4:$D$200,3,FALSE),""))</f>
        <v/>
      </c>
      <c r="D98" t="str">
        <f>IF(A98="","",IFERROR(VLOOKUP(A98,Players!$A$4:$D$200,4,FALSE),""))</f>
        <v/>
      </c>
      <c r="E98" t="str">
        <f>IF(A98="","",COUNTIFS('Player Game Stats'!$B$4:$B$500,A98,'Player Game Stats'!$D$4:$D$500,"Yes"))</f>
        <v/>
      </c>
      <c r="F98" t="str">
        <f>IF(A98="","",SUMIFS('Player Game Stats'!$E$4:$E$500,'Player Game Stats'!$B$4:$B$500,A98))</f>
        <v/>
      </c>
      <c r="G98" t="str">
        <f>IF(A98="","",SUMIFS('Player Game Stats'!$F$4:$F$500,'Player Game Stats'!$B$4:$B$500,A98))</f>
        <v/>
      </c>
      <c r="H98" t="str">
        <f t="shared" si="2"/>
        <v/>
      </c>
      <c r="I98" t="str">
        <f>IF(A98="","",SUMIFS('Player Game Stats'!$H$4:$H$500,'Player Game Stats'!$B$4:$B$500,A98))</f>
        <v/>
      </c>
      <c r="J98" t="str">
        <f>IF(A98="","",SUMIFS('Player Game Stats'!$I$4:$I$500,'Player Game Stats'!$B$4:$B$500,A98))</f>
        <v/>
      </c>
    </row>
    <row r="99" spans="1:10">
      <c r="A99" t="str">
        <f>IF(Players!A99="","",Players!A99)</f>
        <v/>
      </c>
      <c r="B99" t="str">
        <f>IF(A99="","",IFERROR(VLOOKUP(A99,Players!$A$4:$D$200,2,FALSE),""))</f>
        <v/>
      </c>
      <c r="C99" t="str">
        <f>IF(A99="","",IFERROR(VLOOKUP(A99,Players!$A$4:$D$200,3,FALSE),""))</f>
        <v/>
      </c>
      <c r="D99" t="str">
        <f>IF(A99="","",IFERROR(VLOOKUP(A99,Players!$A$4:$D$200,4,FALSE),""))</f>
        <v/>
      </c>
      <c r="E99" t="str">
        <f>IF(A99="","",COUNTIFS('Player Game Stats'!$B$4:$B$500,A99,'Player Game Stats'!$D$4:$D$500,"Yes"))</f>
        <v/>
      </c>
      <c r="F99" t="str">
        <f>IF(A99="","",SUMIFS('Player Game Stats'!$E$4:$E$500,'Player Game Stats'!$B$4:$B$500,A99))</f>
        <v/>
      </c>
      <c r="G99" t="str">
        <f>IF(A99="","",SUMIFS('Player Game Stats'!$F$4:$F$500,'Player Game Stats'!$B$4:$B$500,A99))</f>
        <v/>
      </c>
      <c r="H99" t="str">
        <f t="shared" si="2"/>
        <v/>
      </c>
      <c r="I99" t="str">
        <f>IF(A99="","",SUMIFS('Player Game Stats'!$H$4:$H$500,'Player Game Stats'!$B$4:$B$500,A99))</f>
        <v/>
      </c>
      <c r="J99" t="str">
        <f>IF(A99="","",SUMIFS('Player Game Stats'!$I$4:$I$500,'Player Game Stats'!$B$4:$B$500,A99))</f>
        <v/>
      </c>
    </row>
    <row r="100" spans="1:10">
      <c r="A100" t="str">
        <f>IF(Players!A100="","",Players!A100)</f>
        <v/>
      </c>
      <c r="B100" t="str">
        <f>IF(A100="","",IFERROR(VLOOKUP(A100,Players!$A$4:$D$200,2,FALSE),""))</f>
        <v/>
      </c>
      <c r="C100" t="str">
        <f>IF(A100="","",IFERROR(VLOOKUP(A100,Players!$A$4:$D$200,3,FALSE),""))</f>
        <v/>
      </c>
      <c r="D100" t="str">
        <f>IF(A100="","",IFERROR(VLOOKUP(A100,Players!$A$4:$D$200,4,FALSE),""))</f>
        <v/>
      </c>
      <c r="E100" t="str">
        <f>IF(A100="","",COUNTIFS('Player Game Stats'!$B$4:$B$500,A100,'Player Game Stats'!$D$4:$D$500,"Yes"))</f>
        <v/>
      </c>
      <c r="F100" t="str">
        <f>IF(A100="","",SUMIFS('Player Game Stats'!$E$4:$E$500,'Player Game Stats'!$B$4:$B$500,A100))</f>
        <v/>
      </c>
      <c r="G100" t="str">
        <f>IF(A100="","",SUMIFS('Player Game Stats'!$F$4:$F$500,'Player Game Stats'!$B$4:$B$500,A100))</f>
        <v/>
      </c>
      <c r="H100" t="str">
        <f t="shared" ref="H100:H103" si="3">IF(A100="","",F100+G100)</f>
        <v/>
      </c>
      <c r="I100" t="str">
        <f>IF(A100="","",SUMIFS('Player Game Stats'!$H$4:$H$500,'Player Game Stats'!$B$4:$B$500,A100))</f>
        <v/>
      </c>
      <c r="J100" t="str">
        <f>IF(A100="","",SUMIFS('Player Game Stats'!$I$4:$I$500,'Player Game Stats'!$B$4:$B$500,A100))</f>
        <v/>
      </c>
    </row>
    <row r="101" spans="1:10">
      <c r="A101" t="str">
        <f>IF(Players!A101="","",Players!A101)</f>
        <v/>
      </c>
      <c r="B101" t="str">
        <f>IF(A101="","",IFERROR(VLOOKUP(A101,Players!$A$4:$D$200,2,FALSE),""))</f>
        <v/>
      </c>
      <c r="C101" t="str">
        <f>IF(A101="","",IFERROR(VLOOKUP(A101,Players!$A$4:$D$200,3,FALSE),""))</f>
        <v/>
      </c>
      <c r="D101" t="str">
        <f>IF(A101="","",IFERROR(VLOOKUP(A101,Players!$A$4:$D$200,4,FALSE),""))</f>
        <v/>
      </c>
      <c r="E101" t="str">
        <f>IF(A101="","",COUNTIFS('Player Game Stats'!$B$4:$B$500,A101,'Player Game Stats'!$D$4:$D$500,"Yes"))</f>
        <v/>
      </c>
      <c r="F101" t="str">
        <f>IF(A101="","",SUMIFS('Player Game Stats'!$E$4:$E$500,'Player Game Stats'!$B$4:$B$500,A101))</f>
        <v/>
      </c>
      <c r="G101" t="str">
        <f>IF(A101="","",SUMIFS('Player Game Stats'!$F$4:$F$500,'Player Game Stats'!$B$4:$B$500,A101))</f>
        <v/>
      </c>
      <c r="H101" t="str">
        <f t="shared" si="3"/>
        <v/>
      </c>
      <c r="I101" t="str">
        <f>IF(A101="","",SUMIFS('Player Game Stats'!$H$4:$H$500,'Player Game Stats'!$B$4:$B$500,A101))</f>
        <v/>
      </c>
      <c r="J101" t="str">
        <f>IF(A101="","",SUMIFS('Player Game Stats'!$I$4:$I$500,'Player Game Stats'!$B$4:$B$500,A101))</f>
        <v/>
      </c>
    </row>
    <row r="102" spans="1:10">
      <c r="A102" t="str">
        <f>IF(Players!A102="","",Players!A102)</f>
        <v/>
      </c>
      <c r="B102" t="str">
        <f>IF(A102="","",IFERROR(VLOOKUP(A102,Players!$A$4:$D$200,2,FALSE),""))</f>
        <v/>
      </c>
      <c r="C102" t="str">
        <f>IF(A102="","",IFERROR(VLOOKUP(A102,Players!$A$4:$D$200,3,FALSE),""))</f>
        <v/>
      </c>
      <c r="D102" t="str">
        <f>IF(A102="","",IFERROR(VLOOKUP(A102,Players!$A$4:$D$200,4,FALSE),""))</f>
        <v/>
      </c>
      <c r="E102" t="str">
        <f>IF(A102="","",COUNTIFS('Player Game Stats'!$B$4:$B$500,A102,'Player Game Stats'!$D$4:$D$500,"Yes"))</f>
        <v/>
      </c>
      <c r="F102" t="str">
        <f>IF(A102="","",SUMIFS('Player Game Stats'!$E$4:$E$500,'Player Game Stats'!$B$4:$B$500,A102))</f>
        <v/>
      </c>
      <c r="G102" t="str">
        <f>IF(A102="","",SUMIFS('Player Game Stats'!$F$4:$F$500,'Player Game Stats'!$B$4:$B$500,A102))</f>
        <v/>
      </c>
      <c r="H102" t="str">
        <f t="shared" si="3"/>
        <v/>
      </c>
      <c r="I102" t="str">
        <f>IF(A102="","",SUMIFS('Player Game Stats'!$H$4:$H$500,'Player Game Stats'!$B$4:$B$500,A102))</f>
        <v/>
      </c>
      <c r="J102" t="str">
        <f>IF(A102="","",SUMIFS('Player Game Stats'!$I$4:$I$500,'Player Game Stats'!$B$4:$B$500,A102))</f>
        <v/>
      </c>
    </row>
    <row r="103" spans="1:10">
      <c r="A103" t="str">
        <f>IF(Players!A103="","",Players!A103)</f>
        <v/>
      </c>
      <c r="B103" t="str">
        <f>IF(A103="","",IFERROR(VLOOKUP(A103,Players!$A$4:$D$200,2,FALSE),""))</f>
        <v/>
      </c>
      <c r="C103" t="str">
        <f>IF(A103="","",IFERROR(VLOOKUP(A103,Players!$A$4:$D$200,3,FALSE),""))</f>
        <v/>
      </c>
      <c r="D103" t="str">
        <f>IF(A103="","",IFERROR(VLOOKUP(A103,Players!$A$4:$D$200,4,FALSE),""))</f>
        <v/>
      </c>
      <c r="E103" t="str">
        <f>IF(A103="","",COUNTIFS('Player Game Stats'!$B$4:$B$500,A103,'Player Game Stats'!$D$4:$D$500,"Yes"))</f>
        <v/>
      </c>
      <c r="F103" t="str">
        <f>IF(A103="","",SUMIFS('Player Game Stats'!$E$4:$E$500,'Player Game Stats'!$B$4:$B$500,A103))</f>
        <v/>
      </c>
      <c r="G103" t="str">
        <f>IF(A103="","",SUMIFS('Player Game Stats'!$F$4:$F$500,'Player Game Stats'!$B$4:$B$500,A103))</f>
        <v/>
      </c>
      <c r="H103" t="str">
        <f t="shared" si="3"/>
        <v/>
      </c>
      <c r="I103" t="str">
        <f>IF(A103="","",SUMIFS('Player Game Stats'!$H$4:$H$500,'Player Game Stats'!$B$4:$B$500,A103))</f>
        <v/>
      </c>
      <c r="J103" t="str">
        <f>IF(A103="","",SUMIFS('Player Game Stats'!$I$4:$I$500,'Player Game Stats'!$B$4:$B$500,A103))</f>
        <v/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 Here</vt:lpstr>
      <vt:lpstr>Teams</vt:lpstr>
      <vt:lpstr>Players</vt:lpstr>
      <vt:lpstr>Games</vt:lpstr>
      <vt:lpstr>Player Game Stats</vt:lpstr>
      <vt:lpstr>Netminder Stats</vt:lpstr>
      <vt:lpstr>League Table</vt:lpstr>
      <vt:lpstr>Cup Table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Mark Ward</cp:lastModifiedBy>
  <cp:revision/>
  <dcterms:created xsi:type="dcterms:W3CDTF">2026-08-09T17:58:04Z</dcterms:created>
  <dcterms:modified xsi:type="dcterms:W3CDTF">2026-10-12T13:21:00Z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2026-08-10T10:49:31Z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adbba8d7-bb15-4dc9-8257-0ec88fed82cd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