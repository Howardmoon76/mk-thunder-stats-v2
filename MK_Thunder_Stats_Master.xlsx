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E69095DC-37C0-4841-A08C-B2449AED152F}" xr6:coauthVersionLast="47" xr6:coauthVersionMax="47" xr10:uidLastSave="{00000000-0000-0000-0000-000000000000}"/>
  <bookViews>
    <workbookView xWindow="4290" yWindow="2385" windowWidth="21600" windowHeight="11295" activeTab="2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H9" i="6" s="1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<sst xmlns="http://schemas.openxmlformats.org/spreadsheetml/2006/main" count="395" uniqueCount="220">
  <si>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</si>
  <si>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</si>
  <si>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</si>
  <si>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</si>
  <si>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</si>
  <si>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</si>
  <si>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</si>
  <si>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</si>
  <si>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</si>
  <si>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</si>
  <si>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</si>
  <si>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</si>
  <si>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</si>
  <si>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</si>
  <si>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</si>
  <si>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</si>
  <si>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</si>
  <si>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</si>
  <si>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</si>
  <si>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</si>
  <si>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</si>
  <si>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</si>
  <si>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</si>
  <si>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</si>
  <si>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</si>
  <si>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</si>
  <si>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</si>
  <si>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</si>
  <si>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</si>
  <si>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</si>
  <si>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</si>
  <si>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</si>
  <si>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</si>
  <si>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</si>
  <si>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</si>
  <si>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</si>
  <si>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</si>
  <si>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</si>
  <si>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</si>
  <si>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</si>
  <si>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</si>
  <si>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</si>
  <si>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</si>
  <si>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</si>
  <si>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</si>
  <si>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</si>
  <si>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</si>
  <si>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</si>
  <si>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</si>
  <si>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</si>
  <si>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</si>
  <si>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</si>
  <si>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</si>
  <si>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</si>
  <si>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</si>
  <si>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</si>
  <si>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</si>
  <si>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</si>
  <si>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</si>
  <si>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</si>
  <si>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</si>
  <si>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</si>
  <si>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</si>
  <si>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</si>
  <si>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</si>
  <si>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</si>
  <si>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</si>
  <si>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</si>
  <si>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</si>
  <si>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</si>
  <si>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</si>
  <si>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</si>
  <si>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</si>
  <si>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</si>
  <si>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</si>
  <si>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</si>
  <si>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</si>
  <si>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</si>
  <si>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</si>
  <si>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</si>
  <si>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</si>
  <si>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</si>
  <si>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</si>
  <si>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</si>
  <si>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</si>
  <si>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</si>
  <si>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</si>
  <si>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</si>
  <si>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</si>
  <si>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</si>
  <si>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</si>
  <si>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</si>
  <si>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</si>
  <si>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</si>
  <si>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</si>
  <si>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</si>
  <si>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</si>
  <si>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</si>
  <si>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</si>
  <si>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</si>
  <si>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</si>
  <si>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</si>
  <si>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</si>
  <si>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</si>
  <si>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</si>
  <si>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</si>
  <si>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</si>
  <si>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</si>
  <si>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</si>
  <si>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</si>
  <si>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</si>
  <si>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</si>
  <si>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</si>
  <si>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</si>
  <si>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</si>
  <si>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</si>
  <si>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</si>
  <si>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</si>
  <si>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</si>
  <si>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</si>
  <si>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</si>
  <si>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</si>
  <si>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</si>
  <si>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</si>
  <si>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</si>
  <si>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</si>
  <si>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</si>
  <si>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</si>
  <si>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</si>
  <si>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</si>
  <si>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</si>
  <si>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</si>
  <si>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</si>
  <si>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</si>
  <si>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</si>
  <si>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</si>
  <si>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</si>
  <si>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</si>
  <si>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</si>
  <si>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</si>
  <si>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</si>
  <si>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</si>
  <si>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</si>
  <si>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</si>
  <si>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</si>
  <si>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</si>
  <si>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</si>
  <si>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</si>
  <si>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</si>
  <si>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</si>
  <si>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</si>
  <si>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</si>
  <si>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</si>
  <si>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</si>
  <si>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</si>
  <si>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</si>
  <si>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</si>
  <si>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</si>
  <si>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</si>
  <si>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</si>
  <si>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</si>
  <si>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</si>
  <si>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</si>
  <si>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</si>
  <si>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</si>
  <si>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</si>
  <si>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</si>
  <si>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</si>
  <si>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</si>
  <si>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</si>
  <si>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</si>
  <si>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</si>
  <si>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</si>
  <si>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</si>
  <si>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</si>
  <si>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</si>
  <si>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</si>
  <si>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</si>
  <si>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</si>
  <si>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</si>
  <si>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</si>
  <si>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</si>
  <si>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G008</t>
  </si>
  <si>
    <t>Planet Ice Milton Keynes</t>
  </si>
  <si>
    <t>G009</t>
  </si>
  <si>
    <t>G010</t>
  </si>
  <si>
    <t>solent.png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</si>
  <si>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</si>
  <si>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</si>
  <si>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</si>
  <si>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</si>
  <si>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</si>
  <si>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</si>
  <si>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</si>
  <si>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</si>
  <si>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</si>
  <si>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</si>
  <si>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</si>
  <si>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</si>
  <si>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</si>
  <si>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</si>
  <si>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</si>
  <si>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</si>
  <si>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P005</t>
  </si>
  <si>
    <t>Charlie Russell</t>
  </si>
  <si>
    <t>P006</t>
  </si>
  <si>
    <t>Lewis Smith</t>
  </si>
  <si>
    <t>Peters.png</t>
  </si>
  <si>
    <t>League/Cup</t>
  </si>
  <si>
    <t>russell.png</t>
  </si>
  <si>
    <t>arron.png</t>
  </si>
  <si>
    <t>marks.png</t>
  </si>
  <si>
    <t>dom.png</t>
  </si>
  <si>
    <t>smith.png</t>
  </si>
  <si>
    <t>P007</t>
  </si>
  <si>
    <t>Robert Oxley</t>
  </si>
  <si>
    <t>rob.png</t>
  </si>
  <si>
    <t>P008</t>
  </si>
  <si>
    <t>Madi Wright</t>
  </si>
  <si>
    <t>madi.png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</si>
</sst>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5" t="s">
        <v>0</v>
      </c>
      <c r="B1" s="15"/>
      <c r="C1" s="15"/>
      <c r="D1" s="15"/>
      <c r="E1" s="15"/>
      <c r="F1" s="15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5" t="s">
        <v>20</v>
      </c>
      <c r="B1" s="15"/>
      <c r="C1" s="15"/>
      <c r="D1" s="15"/>
      <c r="E1" s="15"/>
      <c r="F1" s="15"/>
      <c r="G1" s="15"/>
      <c r="H1" s="6"/>
    </row>
    <row r="3" spans="1:8" ht="1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F3" s="7" t="s">
        <v>26</v>
      </c>
      <c r="G3" s="7" t="s">
        <v>27</v>
      </c>
      <c r="H3" s="7" t="s">
        <v>28</v>
      </c>
    </row>
    <row r="4" spans="1:8">
      <c r="A4" s="8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125</v>
      </c>
      <c r="H4" s="8" t="s">
        <v>35</v>
      </c>
    </row>
    <row r="5" spans="1:8">
      <c r="A5" s="8" t="s">
        <v>36</v>
      </c>
      <c r="B5" s="8" t="s">
        <v>37</v>
      </c>
      <c r="C5" s="8" t="s">
        <v>38</v>
      </c>
      <c r="D5" s="8" t="s">
        <v>39</v>
      </c>
      <c r="E5" s="8" t="s">
        <v>40</v>
      </c>
      <c r="F5" s="8" t="s">
        <v>38</v>
      </c>
      <c r="G5" s="8"/>
      <c r="H5" s="8" t="s">
        <v>35</v>
      </c>
    </row>
    <row r="6" spans="1:8">
      <c r="A6" s="8" t="s">
        <v>41</v>
      </c>
      <c r="B6" s="8" t="s">
        <v>42</v>
      </c>
      <c r="C6" s="8" t="s">
        <v>45</v>
      </c>
      <c r="D6" s="8" t="s">
        <v>43</v>
      </c>
      <c r="E6" s="8" t="s">
        <v>44</v>
      </c>
      <c r="F6" s="8" t="s">
        <v>45</v>
      </c>
      <c r="G6" s="8"/>
      <c r="H6" s="8" t="s">
        <v>35</v>
      </c>
    </row>
    <row r="7" spans="1:8">
      <c r="A7" s="8" t="s">
        <v>46</v>
      </c>
      <c r="B7" s="8" t="s">
        <v>47</v>
      </c>
      <c r="C7" s="8" t="s">
        <v>48</v>
      </c>
      <c r="D7" s="8" t="s">
        <v>49</v>
      </c>
      <c r="E7" s="8" t="s">
        <v>50</v>
      </c>
      <c r="F7" s="8" t="s">
        <v>48</v>
      </c>
      <c r="G7" s="8"/>
      <c r="H7" s="8" t="s">
        <v>35</v>
      </c>
    </row>
    <row r="8" spans="1:8">
      <c r="A8" s="8" t="s">
        <v>119</v>
      </c>
      <c r="B8" s="8" t="s">
        <v>126</v>
      </c>
      <c r="C8" s="8" t="s">
        <v>127</v>
      </c>
      <c r="D8" s="8" t="s">
        <v>128</v>
      </c>
      <c r="E8" s="8" t="s">
        <v>129</v>
      </c>
      <c r="F8" s="8" t="s">
        <v>130</v>
      </c>
      <c r="G8" s="8"/>
      <c r="H8" s="8" t="s">
        <v>35</v>
      </c>
    </row>
    <row r="9" spans="1:8">
      <c r="A9" s="8" t="s">
        <v>131</v>
      </c>
      <c r="B9" s="8" t="s">
        <v>120</v>
      </c>
      <c r="C9" s="8" t="s">
        <v>121</v>
      </c>
      <c r="D9" s="8" t="s">
        <v>124</v>
      </c>
      <c r="E9" s="8" t="s">
        <v>122</v>
      </c>
      <c r="F9" s="8" t="s">
        <v>121</v>
      </c>
      <c r="G9" s="8"/>
      <c r="H9" s="8" t="s">
        <v>35</v>
      </c>
    </row>
    <row r="10" spans="1:8">
      <c r="A10" s="8" t="s">
        <v>132</v>
      </c>
      <c r="B10" s="8" t="s">
        <v>133</v>
      </c>
      <c r="C10" s="8" t="s">
        <v>134</v>
      </c>
      <c r="D10" s="8" t="s">
        <v>135</v>
      </c>
      <c r="E10" s="8" t="s">
        <v>136</v>
      </c>
      <c r="F10" s="8" t="s">
        <v>134</v>
      </c>
      <c r="G10" s="8"/>
      <c r="H10" s="8" t="s">
        <v>35</v>
      </c>
    </row>
    <row r="11" spans="1:8">
      <c r="A11" s="8" t="s">
        <v>137</v>
      </c>
      <c r="B11" s="8" t="s">
        <v>138</v>
      </c>
      <c r="C11" s="8" t="s">
        <v>139</v>
      </c>
      <c r="D11" s="8" t="s">
        <v>140</v>
      </c>
      <c r="E11" s="8" t="s">
        <v>141</v>
      </c>
      <c r="F11" s="8" t="s">
        <v>142</v>
      </c>
      <c r="G11" s="8"/>
      <c r="H11" s="8" t="s">
        <v>35</v>
      </c>
    </row>
    <row r="12" spans="1:8">
      <c r="A12" s="8" t="s">
        <v>143</v>
      </c>
      <c r="B12" s="8" t="s">
        <v>144</v>
      </c>
      <c r="C12" s="8" t="s">
        <v>145</v>
      </c>
      <c r="D12" s="8" t="s">
        <v>146</v>
      </c>
      <c r="E12" s="8" t="s">
        <v>147</v>
      </c>
      <c r="F12" s="8" t="s">
        <v>148</v>
      </c>
      <c r="G12" s="8"/>
      <c r="H12" s="8" t="s">
        <v>35</v>
      </c>
    </row>
    <row r="13" spans="1:8">
      <c r="A13" s="8" t="s">
        <v>149</v>
      </c>
      <c r="B13" s="8" t="s">
        <v>150</v>
      </c>
      <c r="C13" s="8" t="s">
        <v>151</v>
      </c>
      <c r="D13" s="8" t="s">
        <v>152</v>
      </c>
      <c r="E13" s="8" t="s">
        <v>153</v>
      </c>
      <c r="F13" s="8" t="s">
        <v>151</v>
      </c>
      <c r="G13" s="8"/>
      <c r="H13" s="8" t="s">
        <v>35</v>
      </c>
    </row>
    <row r="14" spans="1:8">
      <c r="A14" s="8" t="s">
        <v>154</v>
      </c>
      <c r="B14" s="8" t="s">
        <v>155</v>
      </c>
      <c r="C14" s="8" t="s">
        <v>156</v>
      </c>
      <c r="D14" s="8" t="s">
        <v>157</v>
      </c>
      <c r="E14" s="8" t="s">
        <v>158</v>
      </c>
      <c r="F14" s="8" t="s">
        <v>156</v>
      </c>
      <c r="G14" s="8"/>
      <c r="H14" s="8" t="s">
        <v>35</v>
      </c>
    </row>
    <row r="15" spans="1:8">
      <c r="A15" s="8" t="s">
        <v>159</v>
      </c>
      <c r="B15" s="8" t="s">
        <v>160</v>
      </c>
      <c r="C15" s="8" t="s">
        <v>161</v>
      </c>
      <c r="D15" s="8" t="s">
        <v>162</v>
      </c>
      <c r="E15" s="8" t="s">
        <v>163</v>
      </c>
      <c r="F15" s="8" t="s">
        <v>161</v>
      </c>
      <c r="G15" s="8"/>
      <c r="H15" s="8" t="s">
        <v>35</v>
      </c>
    </row>
    <row r="16" spans="1:8">
      <c r="A16" s="8" t="s">
        <v>164</v>
      </c>
      <c r="B16" s="8" t="s">
        <v>165</v>
      </c>
      <c r="C16" s="8" t="s">
        <v>166</v>
      </c>
      <c r="D16" s="8" t="s">
        <v>186</v>
      </c>
      <c r="E16" s="8" t="s">
        <v>167</v>
      </c>
      <c r="F16" s="8" t="s">
        <v>168</v>
      </c>
      <c r="G16" s="8"/>
      <c r="H16" s="8" t="s">
        <v>35</v>
      </c>
    </row>
    <row r="17" spans="1:8">
      <c r="A17" s="8" t="s">
        <v>169</v>
      </c>
      <c r="B17" s="8" t="s">
        <v>170</v>
      </c>
      <c r="C17" s="8" t="s">
        <v>171</v>
      </c>
      <c r="D17" s="8" t="s">
        <v>172</v>
      </c>
      <c r="E17" s="8" t="s">
        <v>173</v>
      </c>
      <c r="F17" s="8" t="s">
        <v>142</v>
      </c>
      <c r="G17" s="8"/>
      <c r="H17" s="8" t="s">
        <v>35</v>
      </c>
    </row>
    <row r="18" spans="1:8">
      <c r="A18" s="8" t="s">
        <v>174</v>
      </c>
      <c r="B18" s="8" t="s">
        <v>175</v>
      </c>
      <c r="C18" s="8" t="s">
        <v>176</v>
      </c>
      <c r="D18" s="8" t="s">
        <v>177</v>
      </c>
      <c r="E18" s="8" t="s">
        <v>178</v>
      </c>
      <c r="F18" s="8" t="s">
        <v>176</v>
      </c>
      <c r="G18" s="8"/>
      <c r="H18" s="8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tabSelected="1" zoomScaleNormal="100" zoomScaleSheetLayoutView="100" workbookViewId="0">
      <selection activeCell="F11" sqref="F1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5" t="s">
        <v>3</v>
      </c>
      <c r="B1" s="15"/>
      <c r="C1" s="15"/>
      <c r="D1" s="15"/>
      <c r="E1" s="15"/>
      <c r="F1" s="15"/>
      <c r="G1" s="15"/>
    </row>
    <row r="3" spans="1:7" ht="30">
      <c r="A3" s="7" t="s">
        <v>51</v>
      </c>
      <c r="B3" s="7" t="s">
        <v>52</v>
      </c>
      <c r="C3" s="7" t="s">
        <v>53</v>
      </c>
      <c r="D3" s="7" t="s">
        <v>54</v>
      </c>
      <c r="E3" s="7" t="s">
        <v>28</v>
      </c>
      <c r="F3" s="7" t="s">
        <v>55</v>
      </c>
      <c r="G3" s="7" t="s">
        <v>56</v>
      </c>
    </row>
    <row r="4" spans="1:7">
      <c r="A4" s="8" t="s">
        <v>57</v>
      </c>
      <c r="B4" s="8" t="s">
        <v>58</v>
      </c>
      <c r="C4" s="8">
        <v>9</v>
      </c>
      <c r="D4" s="8" t="s">
        <v>59</v>
      </c>
      <c r="E4" s="8" t="s">
        <v>35</v>
      </c>
      <c r="F4" s="8" t="s">
        <v>207</v>
      </c>
      <c r="G4" s="8"/>
    </row>
    <row r="5" spans="1:7">
      <c r="A5" s="8" t="s">
        <v>60</v>
      </c>
      <c r="B5" s="8" t="s">
        <v>61</v>
      </c>
      <c r="C5" s="8">
        <v>97</v>
      </c>
      <c r="D5" s="8" t="s">
        <v>59</v>
      </c>
      <c r="E5" s="8" t="s">
        <v>35</v>
      </c>
      <c r="F5" s="8" t="s">
        <v>211</v>
      </c>
      <c r="G5" s="8"/>
    </row>
    <row r="6" spans="1:7">
      <c r="A6" s="8" t="s">
        <v>62</v>
      </c>
      <c r="B6" s="8" t="s">
        <v>63</v>
      </c>
      <c r="C6" s="8">
        <v>74</v>
      </c>
      <c r="D6" s="8" t="s">
        <v>64</v>
      </c>
      <c r="E6" s="8" t="s">
        <v>35</v>
      </c>
      <c r="F6" s="8" t="s">
        <v>212</v>
      </c>
      <c r="G6" s="8" t="s">
        <v>65</v>
      </c>
    </row>
    <row r="7" spans="1:7">
      <c r="A7" s="8" t="s">
        <v>66</v>
      </c>
      <c r="B7" s="8" t="s">
        <v>67</v>
      </c>
      <c r="C7" s="8">
        <v>29</v>
      </c>
      <c r="D7" s="8" t="s">
        <v>68</v>
      </c>
      <c r="E7" s="8" t="s">
        <v>35</v>
      </c>
      <c r="F7" s="8" t="s">
        <v>210</v>
      </c>
      <c r="G7" s="8"/>
    </row>
    <row r="8" spans="1:7">
      <c r="A8" s="8" t="s">
        <v>203</v>
      </c>
      <c r="B8" s="8" t="s">
        <v>204</v>
      </c>
      <c r="C8" s="8">
        <v>12</v>
      </c>
      <c r="D8" s="8" t="s">
        <v>59</v>
      </c>
      <c r="E8" s="8" t="s">
        <v>35</v>
      </c>
      <c r="F8" s="8" t="s">
        <v>209</v>
      </c>
      <c r="G8" s="8"/>
    </row>
    <row r="9" spans="1:7">
      <c r="A9" s="8" t="s">
        <v>205</v>
      </c>
      <c r="B9" s="8" t="s">
        <v>206</v>
      </c>
      <c r="C9" s="8">
        <v>13</v>
      </c>
      <c r="D9" s="8" t="s">
        <v>59</v>
      </c>
      <c r="E9" s="8" t="s">
        <v>35</v>
      </c>
      <c r="F9" s="8" t="s">
        <v>213</v>
      </c>
      <c r="G9" s="8"/>
    </row>
    <row r="10" spans="1:7">
      <c r="A10" s="8" t="s">
        <v>214</v>
      </c>
      <c r="B10" s="8" t="s">
        <v>215</v>
      </c>
      <c r="C10" s="8">
        <v>5</v>
      </c>
      <c r="D10" s="8" t="s">
        <v>64</v>
      </c>
      <c r="E10" s="8" t="s">
        <v>35</v>
      </c>
      <c r="F10" s="8" t="s">
        <v>216</v>
      </c>
      <c r="G10" s="8"/>
    </row>
    <row r="11" spans="1:7">
      <c r="A11" s="8" t="s">
        <v>217</v>
      </c>
      <c r="B11" s="8" t="s">
        <v>218</v>
      </c>
      <c r="C11" s="8">
        <v>10</v>
      </c>
      <c r="D11" s="8" t="s">
        <v>64</v>
      </c>
      <c r="E11" s="8" t="s">
        <v>35</v>
      </c>
      <c r="F11" s="8" t="s">
        <v>219</v>
      </c>
      <c r="G11" s="8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F22" sqref="F2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5" t="s">
        <v>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/>
    <row r="3" spans="1:13" ht="30">
      <c r="A3" s="7" t="s">
        <v>69</v>
      </c>
      <c r="B3" s="7" t="s">
        <v>70</v>
      </c>
      <c r="C3" s="7" t="s">
        <v>71</v>
      </c>
      <c r="D3" s="7" t="s">
        <v>72</v>
      </c>
      <c r="E3" s="7" t="s">
        <v>73</v>
      </c>
      <c r="F3" s="7" t="s">
        <v>74</v>
      </c>
      <c r="G3" s="7" t="s">
        <v>75</v>
      </c>
      <c r="H3" s="7" t="s">
        <v>76</v>
      </c>
      <c r="I3" s="7" t="s">
        <v>77</v>
      </c>
      <c r="J3" s="7" t="s">
        <v>78</v>
      </c>
      <c r="K3" s="7" t="s">
        <v>79</v>
      </c>
      <c r="L3" s="7" t="s">
        <v>80</v>
      </c>
      <c r="M3" s="7" t="s">
        <v>56</v>
      </c>
    </row>
    <row r="4" spans="1:13">
      <c r="A4" s="8" t="s">
        <v>81</v>
      </c>
      <c r="B4" s="9">
        <v>46264</v>
      </c>
      <c r="C4" s="10">
        <v>0.71875</v>
      </c>
      <c r="D4" s="8" t="s">
        <v>36</v>
      </c>
      <c r="E4" s="8" t="s">
        <v>82</v>
      </c>
      <c r="F4" s="8" t="s">
        <v>83</v>
      </c>
      <c r="G4" s="8"/>
      <c r="H4" s="8"/>
      <c r="I4" s="11" t="str">
        <f t="shared" ref="I4:I35" si="0">IF(OR(G4="",H4=""),"",IF(G4&gt;H4,"W",IF(G4&lt;H4,"L","T")))</f>
        <v/>
      </c>
      <c r="J4" s="8"/>
      <c r="K4" s="8" t="s">
        <v>40</v>
      </c>
      <c r="L4" s="8" t="s">
        <v>84</v>
      </c>
      <c r="M4" s="8"/>
    </row>
    <row r="5" spans="1:13">
      <c r="A5" s="8" t="s">
        <v>85</v>
      </c>
      <c r="B5" s="9">
        <v>46270</v>
      </c>
      <c r="C5" s="10">
        <v>0.76041666666666663</v>
      </c>
      <c r="D5" s="8" t="s">
        <v>41</v>
      </c>
      <c r="E5" s="8" t="s">
        <v>82</v>
      </c>
      <c r="F5" s="8" t="s">
        <v>83</v>
      </c>
      <c r="G5" s="8"/>
      <c r="H5" s="8"/>
      <c r="I5" s="11" t="str">
        <f t="shared" si="0"/>
        <v/>
      </c>
      <c r="J5" s="8"/>
      <c r="K5" s="8" t="s">
        <v>44</v>
      </c>
      <c r="L5" s="8" t="s">
        <v>84</v>
      </c>
      <c r="M5" s="8"/>
    </row>
    <row r="6" spans="1:13">
      <c r="A6" s="8" t="s">
        <v>86</v>
      </c>
      <c r="B6" s="9">
        <v>46278</v>
      </c>
      <c r="C6" s="10">
        <v>0.77083333333333337</v>
      </c>
      <c r="D6" s="8" t="s">
        <v>46</v>
      </c>
      <c r="E6" s="8" t="s">
        <v>87</v>
      </c>
      <c r="F6" s="8" t="s">
        <v>208</v>
      </c>
      <c r="G6" s="8"/>
      <c r="H6" s="8"/>
      <c r="I6" s="11" t="str">
        <f t="shared" si="0"/>
        <v/>
      </c>
      <c r="J6" s="8"/>
      <c r="K6" s="8" t="s">
        <v>183</v>
      </c>
      <c r="L6" s="8" t="s">
        <v>84</v>
      </c>
      <c r="M6" s="8"/>
    </row>
    <row r="7" spans="1:13">
      <c r="A7" s="8" t="s">
        <v>123</v>
      </c>
      <c r="B7" s="9">
        <v>46284</v>
      </c>
      <c r="C7" s="10">
        <v>0.79166666666666663</v>
      </c>
      <c r="D7" s="8" t="s">
        <v>119</v>
      </c>
      <c r="E7" s="8" t="s">
        <v>82</v>
      </c>
      <c r="F7" s="8" t="s">
        <v>208</v>
      </c>
      <c r="G7" s="8"/>
      <c r="H7" s="8"/>
      <c r="I7" s="11"/>
      <c r="J7" s="8"/>
      <c r="K7" s="8" t="s">
        <v>129</v>
      </c>
      <c r="L7" s="8" t="s">
        <v>84</v>
      </c>
      <c r="M7" s="8"/>
    </row>
    <row r="8" spans="1:13">
      <c r="A8" s="8" t="s">
        <v>179</v>
      </c>
      <c r="B8" s="9">
        <v>46285</v>
      </c>
      <c r="C8" s="10">
        <v>0.77083333333333337</v>
      </c>
      <c r="D8" s="8" t="s">
        <v>131</v>
      </c>
      <c r="E8" s="8" t="s">
        <v>87</v>
      </c>
      <c r="F8" s="8" t="s">
        <v>88</v>
      </c>
      <c r="G8" s="8"/>
      <c r="H8" s="8"/>
      <c r="I8" s="11" t="str">
        <f t="shared" si="0"/>
        <v/>
      </c>
      <c r="J8" s="8"/>
      <c r="K8" s="8" t="s">
        <v>183</v>
      </c>
      <c r="L8" s="8" t="s">
        <v>84</v>
      </c>
      <c r="M8" s="8"/>
    </row>
    <row r="9" spans="1:13">
      <c r="A9" s="8" t="s">
        <v>180</v>
      </c>
      <c r="B9" s="9">
        <v>46291</v>
      </c>
      <c r="C9" s="10">
        <v>0.78125</v>
      </c>
      <c r="D9" s="8" t="s">
        <v>143</v>
      </c>
      <c r="E9" s="8" t="s">
        <v>82</v>
      </c>
      <c r="F9" s="8" t="s">
        <v>88</v>
      </c>
      <c r="G9" s="8"/>
      <c r="H9" s="8"/>
      <c r="I9" s="11" t="str">
        <f t="shared" si="0"/>
        <v/>
      </c>
      <c r="J9" s="8"/>
      <c r="K9" s="8" t="s">
        <v>147</v>
      </c>
      <c r="L9" s="8" t="s">
        <v>84</v>
      </c>
      <c r="M9" s="8"/>
    </row>
    <row r="10" spans="1:13">
      <c r="A10" s="8" t="s">
        <v>181</v>
      </c>
      <c r="B10" s="9">
        <v>46298</v>
      </c>
      <c r="C10" s="10">
        <v>0.77083333333333337</v>
      </c>
      <c r="D10" s="8" t="s">
        <v>169</v>
      </c>
      <c r="E10" s="8" t="s">
        <v>87</v>
      </c>
      <c r="F10" s="8" t="s">
        <v>208</v>
      </c>
      <c r="G10" s="8"/>
      <c r="H10" s="8"/>
      <c r="I10" s="11" t="str">
        <f t="shared" si="0"/>
        <v/>
      </c>
      <c r="J10" s="8"/>
      <c r="K10" s="8" t="s">
        <v>183</v>
      </c>
      <c r="L10" s="8" t="s">
        <v>84</v>
      </c>
      <c r="M10" s="8"/>
    </row>
    <row r="11" spans="1:13">
      <c r="A11" s="8" t="s">
        <v>182</v>
      </c>
      <c r="B11" s="9">
        <v>46306</v>
      </c>
      <c r="C11" s="10">
        <v>0.83333333333333304</v>
      </c>
      <c r="D11" s="8" t="s">
        <v>174</v>
      </c>
      <c r="E11" s="8" t="s">
        <v>87</v>
      </c>
      <c r="F11" s="8" t="s">
        <v>88</v>
      </c>
      <c r="G11" s="8"/>
      <c r="H11" s="8"/>
      <c r="I11" s="11" t="str">
        <f t="shared" si="0"/>
        <v/>
      </c>
      <c r="J11" s="8"/>
      <c r="K11" s="8" t="s">
        <v>183</v>
      </c>
      <c r="L11" s="8" t="s">
        <v>84</v>
      </c>
      <c r="M11" s="8"/>
    </row>
    <row r="12" spans="1:13">
      <c r="A12" s="8" t="s">
        <v>184</v>
      </c>
      <c r="B12" s="9">
        <v>46312</v>
      </c>
      <c r="C12" s="10">
        <v>0.72916666666666663</v>
      </c>
      <c r="D12" s="8" t="s">
        <v>169</v>
      </c>
      <c r="E12" s="8" t="s">
        <v>82</v>
      </c>
      <c r="F12" s="8" t="s">
        <v>208</v>
      </c>
      <c r="G12" s="8"/>
      <c r="H12" s="8"/>
      <c r="I12" s="11" t="str">
        <f t="shared" si="0"/>
        <v/>
      </c>
      <c r="J12" s="8"/>
      <c r="K12" s="8" t="s">
        <v>173</v>
      </c>
      <c r="L12" s="8" t="s">
        <v>84</v>
      </c>
      <c r="M12" s="8"/>
    </row>
    <row r="13" spans="1:13">
      <c r="A13" s="8" t="s">
        <v>185</v>
      </c>
      <c r="B13" s="9">
        <v>46320</v>
      </c>
      <c r="C13" s="10">
        <v>0.77083333333333304</v>
      </c>
      <c r="D13" s="8" t="s">
        <v>164</v>
      </c>
      <c r="E13" s="8" t="s">
        <v>87</v>
      </c>
      <c r="F13" s="8" t="s">
        <v>208</v>
      </c>
      <c r="G13" s="8"/>
      <c r="H13" s="8"/>
      <c r="I13" s="11" t="str">
        <f t="shared" si="0"/>
        <v/>
      </c>
      <c r="J13" s="8"/>
      <c r="K13" s="8" t="s">
        <v>183</v>
      </c>
      <c r="L13" s="8" t="s">
        <v>84</v>
      </c>
      <c r="M13" s="8"/>
    </row>
    <row r="14" spans="1:13">
      <c r="A14" s="8" t="s">
        <v>187</v>
      </c>
      <c r="B14" s="9">
        <v>46327</v>
      </c>
      <c r="C14" s="10">
        <v>0.75</v>
      </c>
      <c r="D14" s="8" t="s">
        <v>46</v>
      </c>
      <c r="E14" s="8" t="s">
        <v>82</v>
      </c>
      <c r="F14" s="8" t="s">
        <v>208</v>
      </c>
      <c r="G14" s="8"/>
      <c r="H14" s="8"/>
      <c r="I14" s="11" t="str">
        <f t="shared" si="0"/>
        <v/>
      </c>
      <c r="J14" s="8"/>
      <c r="K14" s="8" t="s">
        <v>50</v>
      </c>
      <c r="L14" s="8" t="s">
        <v>84</v>
      </c>
      <c r="M14" s="8"/>
    </row>
    <row r="15" spans="1:13">
      <c r="A15" s="8" t="s">
        <v>188</v>
      </c>
      <c r="B15" s="9">
        <v>46334</v>
      </c>
      <c r="C15" s="10">
        <v>0.75</v>
      </c>
      <c r="D15" s="8" t="s">
        <v>119</v>
      </c>
      <c r="E15" s="8" t="s">
        <v>87</v>
      </c>
      <c r="F15" s="8" t="s">
        <v>208</v>
      </c>
      <c r="G15" s="8"/>
      <c r="H15" s="8"/>
      <c r="I15" s="11" t="str">
        <f t="shared" si="0"/>
        <v/>
      </c>
      <c r="J15" s="8"/>
      <c r="K15" s="8" t="s">
        <v>183</v>
      </c>
      <c r="L15" s="8" t="s">
        <v>84</v>
      </c>
      <c r="M15" s="8"/>
    </row>
    <row r="16" spans="1:13">
      <c r="A16" s="8" t="s">
        <v>189</v>
      </c>
      <c r="B16" s="9">
        <v>46340</v>
      </c>
      <c r="C16" s="10">
        <v>0.79166666666666696</v>
      </c>
      <c r="D16" s="8" t="s">
        <v>143</v>
      </c>
      <c r="E16" s="8" t="s">
        <v>87</v>
      </c>
      <c r="F16" s="8" t="s">
        <v>88</v>
      </c>
      <c r="G16" s="8"/>
      <c r="H16" s="8"/>
      <c r="I16" s="11" t="str">
        <f t="shared" si="0"/>
        <v/>
      </c>
      <c r="J16" s="8"/>
      <c r="K16" s="8" t="s">
        <v>183</v>
      </c>
      <c r="L16" s="8" t="s">
        <v>84</v>
      </c>
      <c r="M16" s="8"/>
    </row>
    <row r="17" spans="1:13">
      <c r="A17" s="8" t="s">
        <v>190</v>
      </c>
      <c r="B17" s="9">
        <v>46341</v>
      </c>
      <c r="C17" s="10">
        <v>0.70833333333333337</v>
      </c>
      <c r="D17" s="8" t="s">
        <v>164</v>
      </c>
      <c r="E17" s="8" t="s">
        <v>82</v>
      </c>
      <c r="F17" s="8" t="s">
        <v>208</v>
      </c>
      <c r="G17" s="8"/>
      <c r="H17" s="8"/>
      <c r="I17" s="11" t="str">
        <f t="shared" si="0"/>
        <v/>
      </c>
      <c r="J17" s="8"/>
      <c r="K17" s="8" t="s">
        <v>167</v>
      </c>
      <c r="L17" s="8" t="s">
        <v>84</v>
      </c>
      <c r="M17" s="8"/>
    </row>
    <row r="18" spans="1:13">
      <c r="A18" s="8" t="s">
        <v>191</v>
      </c>
      <c r="B18" s="9">
        <v>46354</v>
      </c>
      <c r="C18" s="10">
        <v>0.79166666666666663</v>
      </c>
      <c r="D18" s="8" t="s">
        <v>154</v>
      </c>
      <c r="E18" s="8" t="s">
        <v>82</v>
      </c>
      <c r="F18" s="8" t="s">
        <v>208</v>
      </c>
      <c r="G18" s="8"/>
      <c r="H18" s="8"/>
      <c r="I18" s="11" t="str">
        <f t="shared" si="0"/>
        <v/>
      </c>
      <c r="J18" s="8"/>
      <c r="K18" s="8" t="s">
        <v>158</v>
      </c>
      <c r="L18" s="8" t="s">
        <v>84</v>
      </c>
      <c r="M18" s="8"/>
    </row>
    <row r="19" spans="1:13">
      <c r="A19" s="8" t="s">
        <v>192</v>
      </c>
      <c r="B19" s="9">
        <v>46355</v>
      </c>
      <c r="C19" s="10">
        <v>0.72916666666666663</v>
      </c>
      <c r="D19" s="8" t="s">
        <v>131</v>
      </c>
      <c r="E19" s="8" t="s">
        <v>82</v>
      </c>
      <c r="F19" s="8" t="s">
        <v>88</v>
      </c>
      <c r="G19" s="8"/>
      <c r="H19" s="8"/>
      <c r="I19" s="11" t="str">
        <f t="shared" si="0"/>
        <v/>
      </c>
      <c r="J19" s="8"/>
      <c r="K19" s="8" t="s">
        <v>122</v>
      </c>
      <c r="L19" s="8" t="s">
        <v>84</v>
      </c>
      <c r="M19" s="8"/>
    </row>
    <row r="20" spans="1:13">
      <c r="A20" s="8" t="s">
        <v>193</v>
      </c>
      <c r="B20" s="9">
        <v>46368</v>
      </c>
      <c r="C20" s="10">
        <v>0.8125</v>
      </c>
      <c r="D20" s="8" t="s">
        <v>132</v>
      </c>
      <c r="E20" s="8" t="s">
        <v>82</v>
      </c>
      <c r="F20" s="8" t="s">
        <v>88</v>
      </c>
      <c r="G20" s="8"/>
      <c r="H20" s="8"/>
      <c r="I20" s="11" t="str">
        <f t="shared" si="0"/>
        <v/>
      </c>
      <c r="J20" s="8"/>
      <c r="K20" s="8" t="s">
        <v>136</v>
      </c>
      <c r="L20" s="8" t="s">
        <v>84</v>
      </c>
      <c r="M20" s="8"/>
    </row>
    <row r="21" spans="1:13">
      <c r="A21" s="8" t="s">
        <v>194</v>
      </c>
      <c r="B21" s="9">
        <v>46369</v>
      </c>
      <c r="C21" s="10">
        <v>0.77083333333333337</v>
      </c>
      <c r="D21" s="8" t="s">
        <v>137</v>
      </c>
      <c r="E21" s="8" t="s">
        <v>87</v>
      </c>
      <c r="F21" s="8" t="s">
        <v>88</v>
      </c>
      <c r="G21" s="8"/>
      <c r="H21" s="8"/>
      <c r="I21" s="11" t="str">
        <f t="shared" si="0"/>
        <v/>
      </c>
      <c r="J21" s="8"/>
      <c r="K21" s="8" t="s">
        <v>183</v>
      </c>
      <c r="L21" s="8" t="s">
        <v>84</v>
      </c>
      <c r="M21" s="8"/>
    </row>
    <row r="22" spans="1:13">
      <c r="A22" s="8" t="s">
        <v>195</v>
      </c>
      <c r="B22" s="9">
        <v>46376</v>
      </c>
      <c r="C22" s="10">
        <v>0.77083333333333337</v>
      </c>
      <c r="D22" s="8" t="s">
        <v>154</v>
      </c>
      <c r="E22" s="8" t="s">
        <v>87</v>
      </c>
      <c r="F22" s="8" t="s">
        <v>208</v>
      </c>
      <c r="G22" s="8"/>
      <c r="H22" s="8"/>
      <c r="I22" s="11" t="str">
        <f t="shared" si="0"/>
        <v/>
      </c>
      <c r="J22" s="8"/>
      <c r="K22" s="8" t="s">
        <v>183</v>
      </c>
      <c r="L22" s="8" t="s">
        <v>84</v>
      </c>
      <c r="M22" s="8"/>
    </row>
    <row r="23" spans="1:13">
      <c r="A23" s="8" t="s">
        <v>196</v>
      </c>
      <c r="B23" s="9">
        <v>46397</v>
      </c>
      <c r="C23" s="10">
        <v>0.77083333333333337</v>
      </c>
      <c r="D23" s="8" t="s">
        <v>149</v>
      </c>
      <c r="E23" s="8" t="s">
        <v>87</v>
      </c>
      <c r="F23" s="8" t="s">
        <v>88</v>
      </c>
      <c r="G23" s="8"/>
      <c r="H23" s="8"/>
      <c r="I23" s="11" t="str">
        <f t="shared" si="0"/>
        <v/>
      </c>
      <c r="J23" s="8"/>
      <c r="K23" s="8" t="s">
        <v>183</v>
      </c>
      <c r="L23" s="8" t="s">
        <v>84</v>
      </c>
      <c r="M23" s="8"/>
    </row>
    <row r="24" spans="1:13">
      <c r="A24" s="8" t="s">
        <v>197</v>
      </c>
      <c r="B24" s="9">
        <v>46417</v>
      </c>
      <c r="C24" s="10">
        <v>0.79166666666666663</v>
      </c>
      <c r="D24" s="8" t="s">
        <v>159</v>
      </c>
      <c r="E24" s="8" t="s">
        <v>87</v>
      </c>
      <c r="F24" s="8" t="s">
        <v>88</v>
      </c>
      <c r="G24" s="8"/>
      <c r="H24" s="8"/>
      <c r="I24" s="11" t="str">
        <f t="shared" si="0"/>
        <v/>
      </c>
      <c r="J24" s="8"/>
      <c r="K24" s="8" t="s">
        <v>183</v>
      </c>
      <c r="L24" s="8" t="s">
        <v>84</v>
      </c>
      <c r="M24" s="8"/>
    </row>
    <row r="25" spans="1:13">
      <c r="A25" s="8" t="s">
        <v>198</v>
      </c>
      <c r="B25" s="9">
        <v>46425</v>
      </c>
      <c r="C25" s="10">
        <v>0.77083333333333337</v>
      </c>
      <c r="D25" s="8" t="s">
        <v>132</v>
      </c>
      <c r="E25" s="8" t="s">
        <v>87</v>
      </c>
      <c r="F25" s="8" t="s">
        <v>88</v>
      </c>
      <c r="G25" s="8"/>
      <c r="H25" s="8"/>
      <c r="I25" s="11" t="str">
        <f t="shared" si="0"/>
        <v/>
      </c>
      <c r="J25" s="8"/>
      <c r="K25" s="8" t="s">
        <v>183</v>
      </c>
      <c r="L25" s="8" t="s">
        <v>84</v>
      </c>
      <c r="M25" s="8"/>
    </row>
    <row r="26" spans="1:13">
      <c r="A26" s="8" t="s">
        <v>199</v>
      </c>
      <c r="B26" s="9">
        <v>46446</v>
      </c>
      <c r="C26" s="10">
        <v>0.76041666666666663</v>
      </c>
      <c r="D26" s="8" t="s">
        <v>149</v>
      </c>
      <c r="E26" s="8" t="s">
        <v>82</v>
      </c>
      <c r="F26" s="8" t="s">
        <v>88</v>
      </c>
      <c r="G26" s="8"/>
      <c r="H26" s="8"/>
      <c r="I26" s="11" t="str">
        <f t="shared" si="0"/>
        <v/>
      </c>
      <c r="J26" s="8"/>
      <c r="K26" s="8" t="s">
        <v>153</v>
      </c>
      <c r="L26" s="8" t="s">
        <v>84</v>
      </c>
      <c r="M26" s="8"/>
    </row>
    <row r="27" spans="1:13">
      <c r="A27" s="8" t="s">
        <v>200</v>
      </c>
      <c r="B27" s="9">
        <v>46452</v>
      </c>
      <c r="C27" s="10">
        <v>0.72916666666666663</v>
      </c>
      <c r="D27" s="8" t="s">
        <v>137</v>
      </c>
      <c r="E27" s="8" t="s">
        <v>82</v>
      </c>
      <c r="F27" s="8" t="s">
        <v>88</v>
      </c>
      <c r="G27" s="8"/>
      <c r="H27" s="8"/>
      <c r="I27" s="11" t="str">
        <f t="shared" si="0"/>
        <v/>
      </c>
      <c r="J27" s="8"/>
      <c r="K27" s="8" t="s">
        <v>141</v>
      </c>
      <c r="L27" s="8" t="s">
        <v>84</v>
      </c>
      <c r="M27" s="8"/>
    </row>
    <row r="28" spans="1:13">
      <c r="A28" s="8" t="s">
        <v>201</v>
      </c>
      <c r="B28" s="9">
        <v>46459</v>
      </c>
      <c r="C28" s="10">
        <v>0.78125</v>
      </c>
      <c r="D28" s="8" t="s">
        <v>174</v>
      </c>
      <c r="E28" s="8" t="s">
        <v>82</v>
      </c>
      <c r="F28" s="8" t="s">
        <v>88</v>
      </c>
      <c r="G28" s="8"/>
      <c r="H28" s="8"/>
      <c r="I28" s="11" t="str">
        <f t="shared" si="0"/>
        <v/>
      </c>
      <c r="J28" s="8"/>
      <c r="K28" s="8" t="s">
        <v>178</v>
      </c>
      <c r="L28" s="8" t="s">
        <v>84</v>
      </c>
      <c r="M28" s="8"/>
    </row>
    <row r="29" spans="1:13">
      <c r="A29" s="8" t="s">
        <v>202</v>
      </c>
      <c r="B29" s="9">
        <v>46467</v>
      </c>
      <c r="C29" s="10">
        <v>0.73958333333333337</v>
      </c>
      <c r="D29" s="8" t="s">
        <v>159</v>
      </c>
      <c r="E29" s="8" t="s">
        <v>82</v>
      </c>
      <c r="F29" s="8" t="s">
        <v>88</v>
      </c>
      <c r="G29" s="8"/>
      <c r="H29" s="8"/>
      <c r="I29" s="11" t="str">
        <f t="shared" si="0"/>
        <v/>
      </c>
      <c r="J29" s="8"/>
      <c r="K29" s="8" t="s">
        <v>163</v>
      </c>
      <c r="L29" s="8" t="s">
        <v>84</v>
      </c>
      <c r="M29" s="8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N17" sqref="N17"/>
    </sheetView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15" t="s">
        <v>89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30">
      <c r="A3" s="7" t="s">
        <v>69</v>
      </c>
      <c r="B3" s="7" t="s">
        <v>51</v>
      </c>
      <c r="C3" s="7" t="s">
        <v>90</v>
      </c>
      <c r="D3" s="7" t="s">
        <v>91</v>
      </c>
      <c r="E3" s="7" t="s">
        <v>92</v>
      </c>
      <c r="F3" s="7" t="s">
        <v>93</v>
      </c>
      <c r="G3" s="7" t="s">
        <v>94</v>
      </c>
      <c r="H3" s="7" t="s">
        <v>95</v>
      </c>
      <c r="I3" s="7" t="s">
        <v>96</v>
      </c>
      <c r="J3" s="7" t="s">
        <v>56</v>
      </c>
    </row>
    <row r="4" spans="1:10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67" si="0">IF(AND(E4="",F4=""),"",SUM(E4:F4))</f>
        <v/>
      </c>
      <c r="H4" s="8"/>
      <c r="I4" s="8"/>
      <c r="J4" s="8"/>
    </row>
    <row r="5" spans="1:10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8"/>
      <c r="I5" s="8"/>
      <c r="J5" s="8"/>
    </row>
    <row r="6" spans="1:10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8"/>
      <c r="I6" s="8"/>
      <c r="J6" s="8"/>
    </row>
    <row r="7" spans="1:10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8"/>
      <c r="I7" s="8"/>
      <c r="J7" s="8"/>
    </row>
    <row r="8" spans="1:10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8"/>
      <c r="I8" s="8"/>
      <c r="J8" s="8"/>
    </row>
    <row r="9" spans="1:10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8"/>
      <c r="I9" s="8"/>
      <c r="J9" s="8"/>
    </row>
    <row r="10" spans="1:10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8"/>
      <c r="I10" s="8"/>
      <c r="J10" s="8"/>
    </row>
    <row r="11" spans="1:10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8"/>
      <c r="I11" s="8"/>
      <c r="J11" s="8"/>
    </row>
    <row r="12" spans="1:10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8"/>
      <c r="I12" s="8"/>
      <c r="J12" s="8"/>
    </row>
    <row r="13" spans="1:10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8"/>
      <c r="I13" s="8"/>
      <c r="J13" s="8"/>
    </row>
    <row r="14" spans="1:10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8"/>
      <c r="I14" s="8"/>
      <c r="J14" s="8"/>
    </row>
    <row r="15" spans="1:10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8"/>
      <c r="I15" s="8"/>
      <c r="J15" s="8"/>
    </row>
    <row r="16" spans="1:10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8"/>
      <c r="I16" s="8"/>
      <c r="J16" s="8"/>
    </row>
    <row r="17" spans="1:10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8"/>
      <c r="I17" s="8"/>
      <c r="J17" s="8"/>
    </row>
    <row r="18" spans="1:10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8"/>
      <c r="I18" s="8"/>
      <c r="J18" s="8"/>
    </row>
    <row r="19" spans="1:10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8"/>
      <c r="I19" s="8"/>
      <c r="J19" s="8"/>
    </row>
    <row r="20" spans="1:10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8"/>
      <c r="I20" s="8"/>
      <c r="J20" s="8"/>
    </row>
    <row r="21" spans="1:10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8"/>
      <c r="I21" s="8"/>
      <c r="J21" s="8"/>
    </row>
    <row r="22" spans="1:10">
      <c r="A22" s="8"/>
      <c r="B22" s="8"/>
      <c r="C22" s="11" t="str">
        <f>IF(B22="","",IFERROR(VLOOKUP(B22,Players!$A$4:$B$200,2,FALSE),""))</f>
        <v/>
      </c>
      <c r="D22" s="8"/>
      <c r="E22" s="8"/>
      <c r="F22" s="8"/>
      <c r="G22" s="11" t="str">
        <f t="shared" si="0"/>
        <v/>
      </c>
      <c r="H22" s="8"/>
      <c r="I22" s="8"/>
      <c r="J22" s="8"/>
    </row>
    <row r="23" spans="1:10">
      <c r="A23" s="8"/>
      <c r="B23" s="8"/>
      <c r="C23" s="11" t="str">
        <f>IF(B23="","",IFERROR(VLOOKUP(B23,Players!$A$4:$B$200,2,FALSE),""))</f>
        <v/>
      </c>
      <c r="D23" s="8"/>
      <c r="E23" s="8"/>
      <c r="F23" s="8"/>
      <c r="G23" s="11" t="str">
        <f t="shared" si="0"/>
        <v/>
      </c>
      <c r="H23" s="8"/>
      <c r="I23" s="8"/>
      <c r="J23" s="8"/>
    </row>
    <row r="24" spans="1:10">
      <c r="A24" s="8"/>
      <c r="B24" s="8"/>
      <c r="C24" s="11" t="str">
        <f>IF(B24="","",IFERROR(VLOOKUP(B24,Players!$A$4:$B$200,2,FALSE),""))</f>
        <v/>
      </c>
      <c r="D24" s="8"/>
      <c r="E24" s="8"/>
      <c r="F24" s="8"/>
      <c r="G24" s="11" t="str">
        <f t="shared" si="0"/>
        <v/>
      </c>
      <c r="H24" s="8"/>
      <c r="I24" s="8"/>
      <c r="J24" s="8"/>
    </row>
    <row r="25" spans="1:10">
      <c r="A25" s="8"/>
      <c r="B25" s="8"/>
      <c r="C25" s="11" t="str">
        <f>IF(B25="","",IFERROR(VLOOKUP(B25,Players!$A$4:$B$200,2,FALSE),""))</f>
        <v/>
      </c>
      <c r="D25" s="8"/>
      <c r="E25" s="8"/>
      <c r="F25" s="8"/>
      <c r="G25" s="11" t="str">
        <f t="shared" si="0"/>
        <v/>
      </c>
      <c r="H25" s="8"/>
      <c r="I25" s="8"/>
      <c r="J25" s="8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A3" sqref="A3:K21"/>
    </sheetView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15" t="s">
        <v>97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0">
      <c r="A3" s="7" t="s">
        <v>69</v>
      </c>
      <c r="B3" s="7" t="s">
        <v>51</v>
      </c>
      <c r="C3" s="7" t="s">
        <v>68</v>
      </c>
      <c r="D3" s="7" t="s">
        <v>98</v>
      </c>
      <c r="E3" s="7" t="s">
        <v>99</v>
      </c>
      <c r="F3" s="7" t="s">
        <v>100</v>
      </c>
      <c r="G3" s="7" t="s">
        <v>101</v>
      </c>
      <c r="H3" s="7" t="s">
        <v>102</v>
      </c>
      <c r="I3" s="7" t="s">
        <v>103</v>
      </c>
      <c r="J3" s="7" t="s">
        <v>104</v>
      </c>
      <c r="K3" s="7" t="s">
        <v>56</v>
      </c>
    </row>
    <row r="4" spans="1:11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35" si="0">IF(E4="","",E4-F4)</f>
        <v/>
      </c>
      <c r="H4" s="12" t="str">
        <f t="shared" ref="H4:H35" si="1">IF(OR(E4="",E4=0),"",G4/E4)</f>
        <v/>
      </c>
      <c r="I4" s="8"/>
      <c r="J4" s="8"/>
      <c r="K4" s="8"/>
    </row>
    <row r="5" spans="1:11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12" t="str">
        <f t="shared" si="1"/>
        <v/>
      </c>
      <c r="I5" s="8"/>
      <c r="J5" s="8"/>
      <c r="K5" s="8"/>
    </row>
    <row r="6" spans="1:11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12" t="str">
        <f t="shared" si="1"/>
        <v/>
      </c>
      <c r="I6" s="8"/>
      <c r="J6" s="8"/>
      <c r="K6" s="8"/>
    </row>
    <row r="7" spans="1:11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12" t="str">
        <f t="shared" si="1"/>
        <v/>
      </c>
      <c r="I7" s="8"/>
      <c r="J7" s="8"/>
      <c r="K7" s="8"/>
    </row>
    <row r="8" spans="1:11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12" t="str">
        <f t="shared" si="1"/>
        <v/>
      </c>
      <c r="I8" s="8"/>
      <c r="J8" s="8"/>
      <c r="K8" s="8"/>
    </row>
    <row r="9" spans="1:11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12" t="str">
        <f t="shared" si="1"/>
        <v/>
      </c>
      <c r="I9" s="8"/>
      <c r="J9" s="8"/>
      <c r="K9" s="8"/>
    </row>
    <row r="10" spans="1:11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12" t="str">
        <f t="shared" si="1"/>
        <v/>
      </c>
      <c r="I10" s="8"/>
      <c r="J10" s="8"/>
      <c r="K10" s="8"/>
    </row>
    <row r="11" spans="1:11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12" t="str">
        <f t="shared" si="1"/>
        <v/>
      </c>
      <c r="I11" s="8"/>
      <c r="J11" s="8"/>
      <c r="K11" s="8"/>
    </row>
    <row r="12" spans="1:11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12" t="str">
        <f t="shared" si="1"/>
        <v/>
      </c>
      <c r="I12" s="8"/>
      <c r="J12" s="8"/>
      <c r="K12" s="8"/>
    </row>
    <row r="13" spans="1:11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12" t="str">
        <f t="shared" si="1"/>
        <v/>
      </c>
      <c r="I13" s="8"/>
      <c r="J13" s="8"/>
      <c r="K13" s="8"/>
    </row>
    <row r="14" spans="1:11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12" t="str">
        <f t="shared" si="1"/>
        <v/>
      </c>
      <c r="I14" s="8"/>
      <c r="J14" s="8"/>
      <c r="K14" s="8"/>
    </row>
    <row r="15" spans="1:11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12" t="str">
        <f t="shared" si="1"/>
        <v/>
      </c>
      <c r="I15" s="8"/>
      <c r="J15" s="8"/>
      <c r="K15" s="8"/>
    </row>
    <row r="16" spans="1:11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12" t="str">
        <f t="shared" si="1"/>
        <v/>
      </c>
      <c r="I16" s="8"/>
      <c r="J16" s="8"/>
      <c r="K16" s="8"/>
    </row>
    <row r="17" spans="1:11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12" t="str">
        <f t="shared" si="1"/>
        <v/>
      </c>
      <c r="I17" s="8"/>
      <c r="J17" s="8"/>
      <c r="K17" s="8"/>
    </row>
    <row r="18" spans="1:11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12" t="str">
        <f t="shared" si="1"/>
        <v/>
      </c>
      <c r="I18" s="8"/>
      <c r="J18" s="8"/>
      <c r="K18" s="8"/>
    </row>
    <row r="19" spans="1:11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12" t="str">
        <f t="shared" si="1"/>
        <v/>
      </c>
      <c r="I19" s="8"/>
      <c r="J19" s="8"/>
      <c r="K19" s="8"/>
    </row>
    <row r="20" spans="1:11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12" t="str">
        <f t="shared" si="1"/>
        <v/>
      </c>
      <c r="I20" s="8"/>
      <c r="J20" s="8"/>
      <c r="K20" s="8"/>
    </row>
    <row r="21" spans="1:11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12" t="str">
        <f t="shared" si="1"/>
        <v/>
      </c>
      <c r="I21" s="8"/>
      <c r="J21" s="8"/>
      <c r="K21" s="8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B12" sqref="B1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5" t="s">
        <v>105</v>
      </c>
      <c r="B1" s="15"/>
      <c r="C1" s="15"/>
      <c r="D1" s="15"/>
      <c r="E1" s="15"/>
      <c r="F1" s="15"/>
      <c r="G1" s="15"/>
      <c r="H1" s="15"/>
      <c r="I1" s="15"/>
      <c r="J1" s="15"/>
    </row>
    <row r="2" spans="1:13" ht="15">
      <c r="L2" s="7" t="s">
        <v>106</v>
      </c>
      <c r="M2" s="7" t="s">
        <v>107</v>
      </c>
    </row>
    <row r="3" spans="1:13" ht="30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K3" s="14"/>
      <c r="L3" s="13" t="s">
        <v>114</v>
      </c>
      <c r="M3" s="13">
        <f>COUNT(Games!$A$4:$A$200)</f>
        <v>0</v>
      </c>
    </row>
    <row r="4" spans="1:13">
      <c r="A4" s="13" t="str">
        <f>IF(Players!A4="","",Players!A4)</f>
        <v>P001</v>
      </c>
      <c r="B4" s="13" t="str">
        <f>IF(A4="","",IFERROR(VLOOKUP(A4,Players!$A$4:$D$200,2,FALSE),""))</f>
        <v>Sam Peters</v>
      </c>
      <c r="C4" s="13">
        <f>IF(A4="","",IFERROR(VLOOKUP(A4,Players!$A$4:$D$200,3,FALSE),""))</f>
        <v>9</v>
      </c>
      <c r="D4" s="13" t="str">
        <f>IF(A4="","",IFERROR(VLOOKUP(A4,Players!$A$4:$D$200,4,FALSE),""))</f>
        <v>Forward</v>
      </c>
      <c r="E4" s="13">
        <f>IF(A4="","",COUNTIFS('Player Game Stats'!$B$4:$B$500,A4,'Player Game Stats'!$D$4:$D$500,"Yes"))</f>
        <v>0</v>
      </c>
      <c r="F4" s="13">
        <f>IF(A4="","",SUMIFS('Player Game Stats'!$E$4:$E$500,'Player Game Stats'!$B$4:$B$500,A4))</f>
        <v>0</v>
      </c>
      <c r="G4" s="13">
        <f>IF(A4="","",SUMIFS('Player Game Stats'!$F$4:$F$500,'Player Game Stats'!$B$4:$B$500,A4))</f>
        <v>0</v>
      </c>
      <c r="H4" s="13">
        <f t="shared" ref="H4:H35" si="0">IF(A4="","",F4+G4)</f>
        <v>0</v>
      </c>
      <c r="I4" s="13">
        <f>IF(A4="","",SUMIFS('Player Game Stats'!$H$4:$H$500,'Player Game Stats'!$B$4:$B$500,A4))</f>
        <v>0</v>
      </c>
      <c r="J4" s="13">
        <f>IF(A4="","",SUMIFS('Player Game Stats'!$I$4:$I$500,'Player Game Stats'!$B$4:$B$500,A4))</f>
        <v>0</v>
      </c>
      <c r="K4" s="14"/>
      <c r="L4" s="13" t="s">
        <v>115</v>
      </c>
      <c r="M4" s="13">
        <f>SUM(Games!$G$4:$G$200)</f>
        <v>0</v>
      </c>
    </row>
    <row r="5" spans="1:13">
      <c r="A5" s="13" t="str">
        <f>IF(Players!A5="","",Players!A5)</f>
        <v>P002</v>
      </c>
      <c r="B5" s="13" t="str">
        <f>IF(A5="","",IFERROR(VLOOKUP(A5,Players!$A$4:$D$200,2,FALSE),""))</f>
        <v>Marks Kanins</v>
      </c>
      <c r="C5" s="13">
        <f>IF(A5="","",IFERROR(VLOOKUP(A5,Players!$A$4:$D$200,3,FALSE),""))</f>
        <v>97</v>
      </c>
      <c r="D5" s="13" t="str">
        <f>IF(A5="","",IFERROR(VLOOKUP(A5,Players!$A$4:$D$200,4,FALSE),""))</f>
        <v>Forward</v>
      </c>
      <c r="E5" s="13">
        <f>IF(A5="","",COUNTIFS('Player Game Stats'!$B$4:$B$500,A5,'Player Game Stats'!$D$4:$D$500,"Yes"))</f>
        <v>0</v>
      </c>
      <c r="F5" s="13">
        <f>IF(A5="","",SUMIFS('Player Game Stats'!$E$4:$E$500,'Player Game Stats'!$B$4:$B$500,A5))</f>
        <v>0</v>
      </c>
      <c r="G5" s="13">
        <f>IF(A5="","",SUMIFS('Player Game Stats'!$F$4:$F$500,'Player Game Stats'!$B$4:$B$500,A5))</f>
        <v>0</v>
      </c>
      <c r="H5" s="13">
        <f t="shared" si="0"/>
        <v>0</v>
      </c>
      <c r="I5" s="13">
        <f>IF(A5="","",SUMIFS('Player Game Stats'!$H$4:$H$500,'Player Game Stats'!$B$4:$B$500,A5))</f>
        <v>0</v>
      </c>
      <c r="J5" s="13">
        <f>IF(A5="","",SUMIFS('Player Game Stats'!$I$4:$I$500,'Player Game Stats'!$B$4:$B$500,A5))</f>
        <v>0</v>
      </c>
      <c r="K5" s="14"/>
      <c r="L5" s="13" t="s">
        <v>116</v>
      </c>
      <c r="M5" s="13">
        <f>SUM(Games!$H$4:$H$200)</f>
        <v>0</v>
      </c>
    </row>
    <row r="6" spans="1:13">
      <c r="A6" s="13" t="str">
        <f>IF(Players!A6="","",Players!A6)</f>
        <v>P003</v>
      </c>
      <c r="B6" s="13" t="str">
        <f>IF(A6="","",IFERROR(VLOOKUP(A6,Players!$A$4:$D$200,2,FALSE),""))</f>
        <v>Dominic Wealthall</v>
      </c>
      <c r="C6" s="13">
        <f>IF(A6="","",IFERROR(VLOOKUP(A6,Players!$A$4:$D$200,3,FALSE),""))</f>
        <v>74</v>
      </c>
      <c r="D6" s="13" t="str">
        <f>IF(A6="","",IFERROR(VLOOKUP(A6,Players!$A$4:$D$200,4,FALSE),""))</f>
        <v>Defence</v>
      </c>
      <c r="E6" s="13">
        <f>IF(A6="","",COUNTIFS('Player Game Stats'!$B$4:$B$500,A6,'Player Game Stats'!$D$4:$D$500,"Yes"))</f>
        <v>0</v>
      </c>
      <c r="F6" s="13">
        <f>IF(A6="","",SUMIFS('Player Game Stats'!$E$4:$E$500,'Player Game Stats'!$B$4:$B$500,A6))</f>
        <v>0</v>
      </c>
      <c r="G6" s="13">
        <f>IF(A6="","",SUMIFS('Player Game Stats'!$F$4:$F$500,'Player Game Stats'!$B$4:$B$500,A6))</f>
        <v>0</v>
      </c>
      <c r="H6" s="13">
        <f t="shared" si="0"/>
        <v>0</v>
      </c>
      <c r="I6" s="13">
        <f>IF(A6="","",SUMIFS('Player Game Stats'!$H$4:$H$500,'Player Game Stats'!$B$4:$B$500,A6))</f>
        <v>0</v>
      </c>
      <c r="J6" s="13">
        <f>IF(A6="","",SUMIFS('Player Game Stats'!$I$4:$I$500,'Player Game Stats'!$B$4:$B$500,A6))</f>
        <v>0</v>
      </c>
      <c r="K6" s="14"/>
      <c r="L6" s="13" t="s">
        <v>117</v>
      </c>
      <c r="M6" s="13">
        <f>COUNTIF(Games!$I$4:$I$200,"W")</f>
        <v>0</v>
      </c>
    </row>
    <row r="7" spans="1:13">
      <c r="A7" s="13" t="str">
        <f>IF(Players!A7="","",Players!A7)</f>
        <v>P004</v>
      </c>
      <c r="B7" s="13" t="str">
        <f>IF(A7="","",IFERROR(VLOOKUP(A7,Players!$A$4:$D$200,2,FALSE),""))</f>
        <v>Aaron Burton</v>
      </c>
      <c r="C7" s="13">
        <f>IF(A7="","",IFERROR(VLOOKUP(A7,Players!$A$4:$D$200,3,FALSE),""))</f>
        <v>29</v>
      </c>
      <c r="D7" s="13" t="str">
        <f>IF(A7="","",IFERROR(VLOOKUP(A7,Players!$A$4:$D$200,4,FALSE),""))</f>
        <v>Netminder</v>
      </c>
      <c r="E7" s="13">
        <f>IF(A7="","",COUNTIFS('Player Game Stats'!$B$4:$B$500,A7,'Player Game Stats'!$D$4:$D$500,"Yes"))</f>
        <v>0</v>
      </c>
      <c r="F7" s="13">
        <f>IF(A7="","",SUMIFS('Player Game Stats'!$E$4:$E$500,'Player Game Stats'!$B$4:$B$500,A7))</f>
        <v>0</v>
      </c>
      <c r="G7" s="13">
        <f>IF(A7="","",SUMIFS('Player Game Stats'!$F$4:$F$500,'Player Game Stats'!$B$4:$B$500,A7))</f>
        <v>0</v>
      </c>
      <c r="H7" s="13">
        <f t="shared" si="0"/>
        <v>0</v>
      </c>
      <c r="I7" s="13">
        <f>IF(A7="","",SUMIFS('Player Game Stats'!$H$4:$H$500,'Player Game Stats'!$B$4:$B$500,A7))</f>
        <v>0</v>
      </c>
      <c r="J7" s="13">
        <f>IF(A7="","",SUMIFS('Player Game Stats'!$I$4:$I$500,'Player Game Stats'!$B$4:$B$500,A7))</f>
        <v>0</v>
      </c>
      <c r="K7" s="14"/>
      <c r="L7" s="13" t="s">
        <v>118</v>
      </c>
      <c r="M7" s="13">
        <f>COUNTIF(Games!$I$4:$I$200,"L")</f>
        <v>0</v>
      </c>
    </row>
    <row r="8" spans="1:13">
      <c r="A8" s="13" t="str">
        <f>IF(Players!A8="","",Players!A8)</f>
        <v>P005</v>
      </c>
      <c r="B8" s="13" t="str">
        <f>IF(A8="","",IFERROR(VLOOKUP(A8,Players!$A$4:$D$200,2,FALSE),""))</f>
        <v>Charlie Russell</v>
      </c>
      <c r="C8" s="13">
        <f>IF(A8="","",IFERROR(VLOOKUP(A8,Players!$A$4:$D$200,3,FALSE),""))</f>
        <v>12</v>
      </c>
      <c r="D8" s="13" t="str">
        <f>IF(A8="","",IFERROR(VLOOKUP(A8,Players!$A$4:$D$200,4,FALSE),""))</f>
        <v>Forward</v>
      </c>
      <c r="E8" s="13">
        <f>IF(A8="","",COUNTIFS('Player Game Stats'!$B$4:$B$500,A8,'Player Game Stats'!$D$4:$D$500,"Yes"))</f>
        <v>0</v>
      </c>
      <c r="F8" s="13">
        <f>IF(A8="","",SUMIFS('Player Game Stats'!$E$4:$E$500,'Player Game Stats'!$B$4:$B$500,A8))</f>
        <v>0</v>
      </c>
      <c r="G8" s="13">
        <f>IF(A8="","",SUMIFS('Player Game Stats'!$F$4:$F$500,'Player Game Stats'!$B$4:$B$500,A8))</f>
        <v>0</v>
      </c>
      <c r="H8" s="13">
        <f t="shared" si="0"/>
        <v>0</v>
      </c>
      <c r="I8" s="13">
        <f>IF(A8="","",SUMIFS('Player Game Stats'!$H$4:$H$500,'Player Game Stats'!$B$4:$B$500,A8))</f>
        <v>0</v>
      </c>
      <c r="J8" s="13">
        <f>IF(A8="","",SUMIFS('Player Game Stats'!$I$4:$I$500,'Player Game Stats'!$B$4:$B$500,A8))</f>
        <v>0</v>
      </c>
      <c r="K8" s="14"/>
      <c r="L8" s="13"/>
      <c r="M8" s="13"/>
    </row>
    <row r="9" spans="1:13">
      <c r="A9" s="13" t="str">
        <f>IF(Players!A9="","",Players!A9)</f>
        <v>P006</v>
      </c>
      <c r="B9" s="13" t="str">
        <f>IF(A9="","",IFERROR(VLOOKUP(A9,Players!$A$4:$D$200,2,FALSE),""))</f>
        <v>Lewis Smith</v>
      </c>
      <c r="C9" s="13">
        <f>IF(A9="","",IFERROR(VLOOKUP(A9,Players!$A$4:$D$200,3,FALSE),""))</f>
        <v>13</v>
      </c>
      <c r="D9" s="13" t="str">
        <f>IF(A9="","",IFERROR(VLOOKUP(A9,Players!$A$4:$D$200,4,FALSE),""))</f>
        <v>Forward</v>
      </c>
      <c r="E9" s="13">
        <f>IF(A9="","",COUNTIFS('Player Game Stats'!$B$4:$B$500,A9,'Player Game Stats'!$D$4:$D$500,"Yes"))</f>
        <v>0</v>
      </c>
      <c r="F9" s="13">
        <f>IF(A9="","",SUMIFS('Player Game Stats'!$E$4:$E$500,'Player Game Stats'!$B$4:$B$500,A9))</f>
        <v>0</v>
      </c>
      <c r="G9" s="13">
        <f>IF(A9="","",SUMIFS('Player Game Stats'!$F$4:$F$500,'Player Game Stats'!$B$4:$B$500,A9))</f>
        <v>0</v>
      </c>
      <c r="H9" s="13">
        <f t="shared" si="0"/>
        <v>0</v>
      </c>
      <c r="I9" s="13">
        <f>IF(A9="","",SUMIFS('Player Game Stats'!$H$4:$H$500,'Player Game Stats'!$B$4:$B$500,A9))</f>
        <v>0</v>
      </c>
      <c r="J9" s="13">
        <f>IF(A9="","",SUMIFS('Player Game Stats'!$I$4:$I$500,'Player Game Stats'!$B$4:$B$500,A9))</f>
        <v>0</v>
      </c>
      <c r="K9" s="14"/>
      <c r="L9" s="14"/>
    </row>
    <row r="10" spans="1:13">
      <c r="A10" t="str">
        <f>IF(Players!A10="","",Players!A10)</f>
        <v>P007</v>
      </c>
      <c r="B10" t="str">
        <f>IF(A10="","",IFERROR(VLOOKUP(A10,Players!$A$4:$D$200,2,FALSE),""))</f>
        <v>Robert Oxley</v>
      </c>
      <c r="C10">
        <f>IF(A10="","",IFERROR(VLOOKUP(A10,Players!$A$4:$D$200,3,FALSE),""))</f>
        <v>5</v>
      </c>
      <c r="D10" t="str">
        <f>IF(A10="","",IFERROR(VLOOKUP(A10,Players!$A$4:$D$200,4,FALSE),""))</f>
        <v>Defence</v>
      </c>
      <c r="E10">
        <f>IF(A10="","",COUNTIFS('Player Game Stats'!$B$4:$B$500,A10,'Player Game Stats'!$D$4:$D$500,"Yes"))</f>
        <v>0</v>
      </c>
      <c r="F10">
        <f>IF(A10="","",SUMIFS('Player Game Stats'!$E$4:$E$500,'Player Game Stats'!$B$4:$B$500,A10))</f>
        <v>0</v>
      </c>
      <c r="G10">
        <f>IF(A10="","",SUMIFS('Player Game Stats'!$F$4:$F$500,'Player Game Stats'!$B$4:$B$500,A10))</f>
        <v>0</v>
      </c>
      <c r="H10">
        <f t="shared" si="0"/>
        <v>0</v>
      </c>
      <c r="I10">
        <f>IF(A10="","",SUMIFS('Player Game Stats'!$H$4:$H$500,'Player Game Stats'!$B$4:$B$500,A10))</f>
        <v>0</v>
      </c>
      <c r="J10">
        <f>IF(A10="","",SUMIFS('Player Game Stats'!$I$4:$I$500,'Player Game Stats'!$B$4:$B$500,A10))</f>
        <v>0</v>
      </c>
    </row>
    <row r="11" spans="1:13">
      <c r="A11" t="str">
        <f>IF(Players!A11="","",Players!A11)</f>
        <v>P008</v>
      </c>
      <c r="B11" t="str">
        <f>IF(A11="","",IFERROR(VLOOKUP(A11,Players!$A$4:$D$200,2,FALSE),""))</f>
        <v>Madi Wright</v>
      </c>
      <c r="C11">
        <f>IF(A11="","",IFERROR(VLOOKUP(A11,Players!$A$4:$D$200,3,FALSE),""))</f>
        <v>10</v>
      </c>
      <c r="D11" t="str">
        <f>IF(A11="","",IFERROR(VLOOKUP(A11,Players!$A$4:$D$200,4,FALSE),""))</f>
        <v>Defence</v>
      </c>
      <c r="E11">
        <f>IF(A11="","",COUNTIFS('Player Game Stats'!$B$4:$B$500,A11,'Player Game Stats'!$D$4:$D$500,"Yes"))</f>
        <v>0</v>
      </c>
      <c r="F11">
        <f>IF(A11="","",SUMIFS('Player Game Stats'!$E$4:$E$500,'Player Game Stats'!$B$4:$B$500,A11))</f>
        <v>0</v>
      </c>
      <c r="G11">
        <f>IF(A11="","",SUMIFS('Player Game Stats'!$F$4:$F$500,'Player Game Stats'!$B$4:$B$500,A11))</f>
        <v>0</v>
      </c>
      <c r="H11">
        <f t="shared" si="0"/>
        <v>0</v>
      </c>
      <c r="I11">
        <f>IF(A11="","",SUMIFS('Player Game Stats'!$H$4:$H$500,'Player Game Stats'!$B$4:$B$500,A11))</f>
        <v>0</v>
      </c>
      <c r="J11">
        <f>IF(A11="","",SUMIFS('Player Game Stats'!$I$4:$I$500,'Player Game Stats'!$B$4:$B$500,A11))</f>
        <v>0</v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2026-08-11T12:03:53Z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