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BB643CF7-0313-4DAA-BA95-2254A5BB4F25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H9" i="6" s="1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<sst xmlns="http://schemas.openxmlformats.org/spreadsheetml/2006/main" count="380" uniqueCount="209">
  <si>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</si>
  <si>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</si>
  <si>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</si>
  <si>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</si>
  <si>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</si>
  <si>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</si>
  <si>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</si>
  <si>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</si>
  <si>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</si>
  <si>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</si>
  <si>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</si>
  <si>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</si>
  <si>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</si>
  <si>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</si>
  <si>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</si>
  <si>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</si>
  <si>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</si>
  <si>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</si>
  <si>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</si>
  <si>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</si>
  <si>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</si>
  <si>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</si>
  <si>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</si>
  <si>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</si>
  <si>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</si>
  <si>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</si>
  <si>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</si>
  <si>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</si>
  <si>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</si>
  <si>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</si>
  <si>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</si>
  <si>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</si>
  <si>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</si>
  <si>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</si>
  <si>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</si>
  <si>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</si>
  <si>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</si>
  <si>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</si>
  <si>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</si>
  <si>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</si>
  <si>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</si>
  <si>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</si>
  <si>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</si>
  <si>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</si>
  <si>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</si>
  <si>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</si>
  <si>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</si>
  <si>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</si>
  <si>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</si>
  <si>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</si>
  <si>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</si>
  <si>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</si>
  <si>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</si>
  <si>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</si>
  <si>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</si>
  <si>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</si>
  <si>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</si>
  <si>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</si>
  <si>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</si>
  <si>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</si>
  <si>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</si>
  <si>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</si>
  <si>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</si>
  <si>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</si>
  <si>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</si>
  <si>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</si>
  <si>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</si>
  <si>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</si>
  <si>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</si>
  <si>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</si>
  <si>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</si>
  <si>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</si>
  <si>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</si>
  <si>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</si>
  <si>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</si>
  <si>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</si>
  <si>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</si>
  <si>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</si>
  <si>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</si>
  <si>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</si>
  <si>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</si>
  <si>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</si>
  <si>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</si>
  <si>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</si>
  <si>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</si>
  <si>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</si>
  <si>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</si>
  <si>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</si>
  <si>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</si>
  <si>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</si>
  <si>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</si>
  <si>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</si>
  <si>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</si>
  <si>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</si>
  <si>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</si>
  <si>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</si>
  <si>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</si>
  <si>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</si>
  <si>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</si>
  <si>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</si>
  <si>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</si>
  <si>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</si>
  <si>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</si>
  <si>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</si>
  <si>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</si>
  <si>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</si>
  <si>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</si>
  <si>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</si>
  <si>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</si>
  <si>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</si>
  <si>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</si>
  <si>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</si>
  <si>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</si>
  <si>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</si>
  <si>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</si>
  <si>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</si>
  <si>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</si>
  <si>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</si>
  <si>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</si>
  <si>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</si>
  <si>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</si>
  <si>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</si>
  <si>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</si>
  <si>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</si>
  <si>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</si>
  <si>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</si>
  <si>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</si>
  <si>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</si>
  <si>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</si>
  <si>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</si>
  <si>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</si>
  <si>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</si>
  <si>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</si>
  <si>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</si>
  <si>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</si>
  <si>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</si>
  <si>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</si>
  <si>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</si>
  <si>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</si>
  <si>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</si>
  <si>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</si>
  <si>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</si>
  <si>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</si>
  <si>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</si>
  <si>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</si>
  <si>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</si>
  <si>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</si>
  <si>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</si>
  <si>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</si>
  <si>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</si>
  <si>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</si>
  <si>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</si>
  <si>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</si>
  <si>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</si>
  <si>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</si>
  <si>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</si>
  <si>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</si>
  <si>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</si>
  <si>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</si>
  <si>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</si>
  <si>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</si>
  <si>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</si>
  <si>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</si>
  <si>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</si>
  <si>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</si>
  <si>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</si>
  <si>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</si>
  <si>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</si>
  <si>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</si>
  <si>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</si>
  <si>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</si>
  <si>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</si>
  <si>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</si>
  <si>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</si>
  <si>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</si>
  <si>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</si>
  <si>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</si>
  <si>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</si>
  <si>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</si>
  <si>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</si>
  <si>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</si>
  <si>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</si>
  <si>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</si>
  <si>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</si>
  <si>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</si>
  <si>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</si>
  <si>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</si>
  <si>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</si>
  <si>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</si>
  <si>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</si>
  <si>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</si>
  <si>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</si>
  <si>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</si>
  <si>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</si>
  <si>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</si>
  <si>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</si>
  <si>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</si>
  <si>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</si>
  <si>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</si>
  <si>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</si>
  <si>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</si>
  <si>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</si>
  <si>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</si>
  <si>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</si>
  <si>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</si>
  <si>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</si>
  <si>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</si>
  <si>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</si>
  <si>
    <t>League/Cup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</si>
</sst>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H8" sqref="H8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/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/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/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/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/>
      <c r="G9" s="8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208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208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208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208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208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208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208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208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208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208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N17" sqref="N17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5" t="s">
        <v>89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67" si="0">IF(AND(E4="",F4=""),"",SUM(E4:F4))</f>
        <v/>
      </c>
      <c r="H4" s="8"/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5" t="s">
        <v>97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105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4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0</v>
      </c>
      <c r="F4" s="13">
        <f>IF(A4="","",SUMIFS('Player Game Stats'!$E$4:$E$500,'Player Game Stats'!$B$4:$B$500,A4))</f>
        <v>0</v>
      </c>
      <c r="G4" s="13">
        <f>IF(A4="","",SUMIFS('Player Game Stats'!$F$4:$F$500,'Player Game Stats'!$B$4:$B$500,A4))</f>
        <v>0</v>
      </c>
      <c r="H4" s="13">
        <f t="shared" ref="H4:H35" si="0">IF(A4="","",F4+G4)</f>
        <v>0</v>
      </c>
      <c r="I4" s="13">
        <f>IF(A4="","",SUMIFS('Player Game Stats'!$H$4:$H$500,'Player Game Stats'!$B$4:$B$500,A4))</f>
        <v>0</v>
      </c>
      <c r="J4" s="13">
        <f>IF(A4="","",SUMIFS('Player Game Stats'!$I$4:$I$500,'Player Game Stats'!$B$4:$B$500,A4))</f>
        <v>0</v>
      </c>
      <c r="K4" s="14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4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4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4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4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4"/>
      <c r="L9" s="14"/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2026-08-11T11:23:51Z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