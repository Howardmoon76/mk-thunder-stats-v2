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13_ncr:1_{D3D8CC27-C0A0-46D9-8AE3-5A707B200651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Dashboard" sheetId="6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H4" i="5"/>
  <c r="G4" i="5"/>
  <c r="C4" i="5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H7" i="6" s="1"/>
  <c r="E7" i="6"/>
  <c r="D7" i="6"/>
  <c r="C7" i="6"/>
  <c r="B7" i="6"/>
  <c r="J8" i="6"/>
  <c r="I8" i="6"/>
  <c r="H8" i="6"/>
  <c r="G8" i="6"/>
  <c r="F8" i="6"/>
  <c r="E8" i="6"/>
  <c r="D8" i="6"/>
  <c r="C8" i="6"/>
  <c r="B8" i="6"/>
  <c r="J9" i="6"/>
  <c r="I9" i="6"/>
  <c r="H9" i="6"/>
  <c r="G9" i="6"/>
  <c r="F9" i="6"/>
  <c r="E9" i="6"/>
  <c r="D9" i="6"/>
  <c r="C9" i="6"/>
  <c r="B9" i="6"/>
  <c r="J10" i="6"/>
  <c r="I10" i="6"/>
  <c r="H10" i="6"/>
  <c r="G10" i="6"/>
  <c r="F10" i="6"/>
  <c r="E10" i="6"/>
  <c r="D10" i="6"/>
  <c r="C10" i="6"/>
  <c r="B10" i="6"/>
  <c r="J11" i="6"/>
  <c r="I11" i="6"/>
  <c r="H11" i="6"/>
  <c r="G11" i="6"/>
  <c r="F11" i="6"/>
  <c r="E11" i="6"/>
  <c r="D11" i="6"/>
  <c r="C11" i="6"/>
  <c r="B11" i="6"/>
  <c r="J12" i="6"/>
  <c r="I12" i="6"/>
  <c r="H12" i="6"/>
  <c r="G12" i="6"/>
  <c r="F12" i="6"/>
  <c r="E12" i="6"/>
  <c r="D12" i="6"/>
  <c r="C12" i="6"/>
  <c r="B12" i="6"/>
  <c r="J13" i="6"/>
  <c r="I13" i="6"/>
  <c r="H13" i="6"/>
  <c r="G13" i="6"/>
  <c r="F13" i="6"/>
  <c r="E13" i="6"/>
  <c r="D13" i="6"/>
  <c r="C13" i="6"/>
  <c r="B13" i="6"/>
  <c r="J14" i="6"/>
  <c r="I14" i="6"/>
  <c r="H14" i="6"/>
  <c r="G14" i="6"/>
  <c r="F14" i="6"/>
  <c r="E14" i="6"/>
  <c r="D14" i="6"/>
  <c r="C14" i="6"/>
  <c r="B14" i="6"/>
  <c r="J15" i="6"/>
  <c r="I15" i="6"/>
  <c r="H15" i="6"/>
  <c r="G15" i="6"/>
  <c r="F15" i="6"/>
  <c r="E15" i="6"/>
  <c r="D15" i="6"/>
  <c r="C15" i="6"/>
  <c r="B15" i="6"/>
  <c r="J16" i="6"/>
  <c r="I16" i="6"/>
  <c r="H16" i="6"/>
  <c r="G16" i="6"/>
  <c r="F16" i="6"/>
  <c r="E16" i="6"/>
  <c r="D16" i="6"/>
  <c r="C16" i="6"/>
  <c r="B16" i="6"/>
  <c r="J17" i="6"/>
  <c r="I17" i="6"/>
  <c r="H17" i="6"/>
  <c r="G17" i="6"/>
  <c r="F17" i="6"/>
  <c r="E17" i="6"/>
  <c r="D17" i="6"/>
  <c r="C17" i="6"/>
  <c r="B17" i="6"/>
  <c r="J18" i="6"/>
  <c r="I18" i="6"/>
  <c r="H18" i="6"/>
  <c r="G18" i="6"/>
  <c r="F18" i="6"/>
  <c r="E18" i="6"/>
  <c r="D18" i="6"/>
  <c r="C18" i="6"/>
  <c r="B18" i="6"/>
  <c r="J19" i="6"/>
  <c r="I19" i="6"/>
  <c r="H19" i="6"/>
  <c r="G19" i="6"/>
  <c r="F19" i="6"/>
  <c r="E19" i="6"/>
  <c r="D19" i="6"/>
  <c r="C19" i="6"/>
  <c r="B19" i="6"/>
  <c r="J20" i="6"/>
  <c r="I20" i="6"/>
  <c r="H20" i="6"/>
  <c r="G20" i="6"/>
  <c r="F20" i="6"/>
  <c r="E20" i="6"/>
  <c r="D20" i="6"/>
  <c r="C20" i="6"/>
  <c r="B20" i="6"/>
  <c r="J21" i="6"/>
  <c r="I21" i="6"/>
  <c r="H21" i="6"/>
  <c r="G21" i="6"/>
  <c r="F21" i="6"/>
  <c r="E21" i="6"/>
  <c r="D21" i="6"/>
  <c r="C21" i="6"/>
  <c r="B21" i="6"/>
  <c r="J22" i="6"/>
  <c r="I22" i="6"/>
  <c r="H22" i="6"/>
  <c r="G22" i="6"/>
  <c r="F22" i="6"/>
  <c r="E22" i="6"/>
  <c r="D22" i="6"/>
  <c r="C22" i="6"/>
  <c r="B22" i="6"/>
  <c r="J23" i="6"/>
  <c r="I23" i="6"/>
  <c r="H23" i="6"/>
  <c r="G23" i="6"/>
  <c r="F23" i="6"/>
  <c r="E23" i="6"/>
  <c r="D23" i="6"/>
  <c r="C23" i="6"/>
  <c r="B23" i="6"/>
  <c r="J24" i="6"/>
  <c r="I24" i="6"/>
  <c r="H24" i="6"/>
  <c r="G24" i="6"/>
  <c r="F24" i="6"/>
  <c r="E24" i="6"/>
  <c r="D24" i="6"/>
  <c r="C24" i="6"/>
  <c r="B24" i="6"/>
  <c r="J25" i="6"/>
  <c r="I25" i="6"/>
  <c r="H25" i="6"/>
  <c r="G25" i="6"/>
  <c r="F25" i="6"/>
  <c r="E25" i="6"/>
  <c r="D25" i="6"/>
  <c r="C25" i="6"/>
  <c r="B25" i="6"/>
  <c r="J26" i="6"/>
  <c r="I26" i="6"/>
  <c r="H26" i="6"/>
  <c r="G26" i="6"/>
  <c r="F26" i="6"/>
  <c r="E26" i="6"/>
  <c r="D26" i="6"/>
  <c r="C26" i="6"/>
  <c r="B26" i="6"/>
  <c r="J27" i="6"/>
  <c r="I27" i="6"/>
  <c r="H27" i="6"/>
  <c r="G27" i="6"/>
  <c r="F27" i="6"/>
  <c r="E27" i="6"/>
  <c r="D27" i="6"/>
  <c r="C27" i="6"/>
  <c r="B27" i="6"/>
  <c r="J28" i="6"/>
  <c r="I28" i="6"/>
  <c r="H28" i="6"/>
  <c r="G28" i="6"/>
  <c r="F28" i="6"/>
  <c r="E28" i="6"/>
  <c r="D28" i="6"/>
  <c r="C28" i="6"/>
  <c r="B28" i="6"/>
  <c r="J29" i="6"/>
  <c r="I29" i="6"/>
  <c r="H29" i="6"/>
  <c r="G29" i="6"/>
  <c r="F29" i="6"/>
  <c r="E29" i="6"/>
  <c r="D29" i="6"/>
  <c r="C29" i="6"/>
  <c r="B29" i="6"/>
  <c r="J30" i="6"/>
  <c r="I30" i="6"/>
  <c r="H30" i="6"/>
  <c r="G30" i="6"/>
  <c r="F30" i="6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</calcChain>
</file>

<file path=xl/sharedStrings.xml><?xml version="1.0" encoding="utf-8"?>
<sst xmlns="http://schemas.openxmlformats.org/spreadsheetml/2006/main" count="168" uniqueCount="127">
  <si>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</si>
  <si>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</si>
  <si>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</si>
  <si>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</si>
  <si>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</si>
  <si>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</si>
  <si>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</si>
  <si>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</si>
  <si>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</si>
  <si>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</si>
  <si>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</si>
  <si>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</si>
  <si>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</si>
  <si>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</si>
  <si>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</si>
  <si>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</si>
  <si>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</si>
  <si>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</si>
  <si>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</si>
  <si>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</si>
  <si>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</si>
  <si>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</si>
  <si>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</si>
  <si>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</si>
  <si>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</si>
  <si>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</si>
  <si>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</si>
  <si>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</si>
  <si>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</si>
  <si>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</si>
  <si>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</si>
  <si>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</si>
  <si>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</si>
  <si>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</si>
  <si>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</si>
  <si>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</si>
  <si>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</si>
  <si>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</si>
  <si>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</si>
  <si>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</si>
  <si>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</si>
  <si>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</si>
  <si>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</si>
  <si>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Buccaneers</t>
  </si>
  <si>
    <t>romford.png</t>
  </si>
  <si>
    <t>Sapphire Ice and Leisure Centre</t>
  </si>
  <si>
    <t>Romford</t>
  </si>
  <si>
    <t>T004</t>
  </si>
  <si>
    <t>Chelmsford Warriors</t>
  </si>
  <si>
    <t>Chelmsford</t>
  </si>
  <si>
    <t>Chelmsford.png</t>
  </si>
  <si>
    <t>Riverside Leisure Centre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</si>
  <si>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</si>
  <si>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</si>
  <si>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</si>
  <si>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</si>
  <si>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</si>
  <si>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</si>
  <si>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</si>
  <si>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</si>
  <si>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</si>
  <si>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P002</t>
  </si>
  <si>
    <t>Marks Kanins</t>
  </si>
  <si>
    <t>P003</t>
  </si>
  <si>
    <t>Dominic Wealthall</t>
  </si>
  <si>
    <t>Defence</t>
  </si>
  <si>
    <t>Captain</t>
  </si>
  <si>
    <t>P004</t>
  </si>
  <si>
    <t>Aaron Burton</t>
  </si>
  <si>
    <t>Netminder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</si>
  <si>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</si>
  <si>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</si>
  <si>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</si>
  <si>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</si>
  <si>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</si>
  <si>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</si>
  <si>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</si>
  <si>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</si>
  <si>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</si>
  <si>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</si>
  <si>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</si>
  <si>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</si>
  <si>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</si>
  <si>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</si>
  <si>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</si>
  <si>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</si>
  <si>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</si>
  <si>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</si>
  <si>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</si>
  <si>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</si>
  <si>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</si>
  <si>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</si>
  <si>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</si>
  <si>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</si>
  <si>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</si>
  <si>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</si>
  <si>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</si>
  <si>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</si>
  <si>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</si>
  <si>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</si>
  <si>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</si>
  <si>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</si>
  <si>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</si>
  <si>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</si>
  <si>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</si>
  <si>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</si>
  <si>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MK Thunder Season Player Totals</t>
  </si>
  <si>
    <t>Team KPIs</t>
  </si>
  <si>
    <t>Value</t>
  </si>
  <si>
    <t>Player</t>
  </si>
  <si>
    <t>#</t>
  </si>
  <si>
    <t>Pos</t>
  </si>
  <si>
    <t>GP</t>
  </si>
  <si>
    <t>G</t>
  </si>
  <si>
    <t>PTS</t>
  </si>
  <si>
    <t>Games entered</t>
  </si>
  <si>
    <t>Goals scored</t>
  </si>
  <si>
    <t>Goals against</t>
  </si>
  <si>
    <t>Wins</t>
  </si>
  <si>
    <t>Losses</t>
  </si>
  <si>
    <t>T005</t>
  </si>
  <si>
    <t>Guildford Phoenix</t>
  </si>
  <si>
    <t>Guildford</t>
  </si>
  <si>
    <t>Guildford Spectrum</t>
  </si>
  <si>
    <t>G004</t>
  </si>
  <si>
    <t>Home</t>
  </si>
  <si>
    <t>guildford.png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</si>
</sst>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20" fontId="0" fillId="4" borderId="1" xfId="0" applyNumberFormat="1" applyFill="1" applyBorder="1"/>
    <xf numFmtId="15" fontId="0" fillId="4" borderId="1" xfId="0" applyNumberFormat="1" applyFill="1" applyBorder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/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9" t="s">
        <v>0</v>
      </c>
      <c r="B1" s="9"/>
      <c r="C1" s="9"/>
      <c r="D1" s="9"/>
      <c r="E1" s="9"/>
      <c r="F1" s="9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tabSelected="1" zoomScaleNormal="100" zoomScaleSheetLayoutView="100" workbookViewId="0">
      <selection activeCell="E14" sqref="E14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7.75" bestFit="1" customWidth="1"/>
  </cols>
  <sheetData>
    <row r="1" spans="1:8" ht="20.25">
      <c r="A1" s="9" t="s">
        <v>20</v>
      </c>
      <c r="B1" s="9"/>
      <c r="C1" s="9"/>
      <c r="D1" s="9"/>
      <c r="E1" s="9"/>
      <c r="F1" s="9"/>
      <c r="G1" s="9"/>
      <c r="H1" s="8"/>
    </row>
    <row r="3" spans="1:8" ht="30">
      <c r="A3" s="1" t="s">
        <v>21</v>
      </c>
      <c r="B3" s="1" t="s">
        <v>22</v>
      </c>
      <c r="C3" s="1" t="s">
        <v>23</v>
      </c>
      <c r="D3" s="1" t="s">
        <v>24</v>
      </c>
      <c r="E3" s="1" t="s">
        <v>25</v>
      </c>
      <c r="F3" s="1" t="s">
        <v>26</v>
      </c>
      <c r="G3" s="1" t="s">
        <v>27</v>
      </c>
      <c r="H3" s="1" t="s">
        <v>28</v>
      </c>
    </row>
    <row r="4" spans="1:8">
      <c r="A4" s="2" t="s">
        <v>29</v>
      </c>
      <c r="B4" s="2" t="s">
        <v>30</v>
      </c>
      <c r="C4" s="2" t="s">
        <v>31</v>
      </c>
      <c r="D4" s="2" t="s">
        <v>32</v>
      </c>
      <c r="E4" s="2" t="s">
        <v>33</v>
      </c>
      <c r="F4" s="2" t="s">
        <v>34</v>
      </c>
      <c r="G4" s="2"/>
      <c r="H4" s="2" t="s">
        <v>35</v>
      </c>
    </row>
    <row r="5" spans="1:8">
      <c r="A5" s="2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38</v>
      </c>
      <c r="G5" s="2"/>
      <c r="H5" s="2" t="s">
        <v>35</v>
      </c>
    </row>
    <row r="6" spans="1:8">
      <c r="A6" s="2" t="s">
        <v>41</v>
      </c>
      <c r="B6" s="2" t="s">
        <v>42</v>
      </c>
      <c r="C6" s="2" t="s">
        <v>43</v>
      </c>
      <c r="D6" s="2" t="s">
        <v>44</v>
      </c>
      <c r="E6" s="2" t="s">
        <v>45</v>
      </c>
      <c r="F6" s="2" t="s">
        <v>46</v>
      </c>
      <c r="G6" s="2"/>
      <c r="H6" s="2" t="s">
        <v>35</v>
      </c>
    </row>
    <row r="7" spans="1:8">
      <c r="A7" s="2" t="s">
        <v>47</v>
      </c>
      <c r="B7" s="2" t="s">
        <v>48</v>
      </c>
      <c r="C7" s="2" t="s">
        <v>49</v>
      </c>
      <c r="D7" s="2" t="s">
        <v>50</v>
      </c>
      <c r="E7" s="2" t="s">
        <v>51</v>
      </c>
      <c r="F7" s="2" t="s">
        <v>49</v>
      </c>
      <c r="G7" s="2"/>
      <c r="H7" s="2" t="s">
        <v>35</v>
      </c>
    </row>
    <row r="8" spans="1:8">
      <c r="A8" s="2" t="s">
        <v>120</v>
      </c>
      <c r="B8" s="2" t="s">
        <v>121</v>
      </c>
      <c r="C8" s="2" t="s">
        <v>122</v>
      </c>
      <c r="D8" s="2" t="s">
        <v>126</v>
      </c>
      <c r="E8" s="2" t="s">
        <v>123</v>
      </c>
      <c r="F8" s="2" t="s">
        <v>122</v>
      </c>
      <c r="G8" s="2"/>
      <c r="H8" s="2" t="s">
        <v>35</v>
      </c>
    </row>
    <row r="9" spans="1:8">
      <c r="A9" s="2"/>
      <c r="B9" s="2"/>
      <c r="C9" s="2"/>
      <c r="D9" s="2"/>
      <c r="E9" s="2"/>
      <c r="F9" s="2"/>
      <c r="G9" s="2"/>
      <c r="H9" s="2"/>
    </row>
    <row r="10" spans="1:8">
      <c r="A10" s="2"/>
      <c r="B10" s="2"/>
      <c r="C10" s="2"/>
      <c r="D10" s="2"/>
      <c r="E10" s="2"/>
      <c r="F10" s="2"/>
      <c r="G10" s="2"/>
      <c r="H10" s="2"/>
    </row>
    <row r="11" spans="1:8">
      <c r="A11" s="2"/>
      <c r="B11" s="2"/>
      <c r="C11" s="2"/>
      <c r="D11" s="2"/>
      <c r="E11" s="2"/>
      <c r="F11" s="2"/>
      <c r="G11" s="2"/>
      <c r="H11" s="2"/>
    </row>
    <row r="12" spans="1:8">
      <c r="A12" s="2"/>
      <c r="B12" s="2"/>
      <c r="C12" s="2"/>
      <c r="D12" s="2"/>
      <c r="E12" s="2"/>
      <c r="F12" s="2"/>
      <c r="G12" s="2"/>
      <c r="H12" s="2"/>
    </row>
    <row r="13" spans="1:8">
      <c r="A13" s="2"/>
      <c r="B13" s="2"/>
      <c r="C13" s="2"/>
      <c r="D13" s="2"/>
      <c r="E13" s="2"/>
      <c r="F13" s="2"/>
      <c r="G13" s="2"/>
      <c r="H13" s="2"/>
    </row>
    <row r="14" spans="1:8">
      <c r="A14" s="2"/>
      <c r="B14" s="2"/>
      <c r="C14" s="2"/>
      <c r="D14" s="2"/>
      <c r="E14" s="2"/>
      <c r="F14" s="2"/>
      <c r="G14" s="2"/>
      <c r="H14" s="2"/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zoomScaleNormal="100" zoomScaleSheetLayoutView="100" workbookViewId="0">
      <selection activeCell="F3" sqref="F3"/>
    </sheetView>
  </sheetViews>
  <sheetFormatPr defaultRowHeight="14.25"/>
  <cols>
    <col min="1" max="1" width="8.5" customWidth="1"/>
    <col min="2" max="2" width="24" customWidth="1"/>
    <col min="3" max="3" width="6.75" customWidth="1"/>
    <col min="4" max="4" width="10.625" customWidth="1"/>
    <col min="5" max="5" width="6.125" customWidth="1"/>
    <col min="6" max="6" width="9.75" customWidth="1"/>
    <col min="7" max="7" width="6.25" customWidth="1"/>
  </cols>
  <sheetData>
    <row r="1" spans="1:7" ht="20.25">
      <c r="A1" s="9" t="s">
        <v>3</v>
      </c>
      <c r="B1" s="9"/>
      <c r="C1" s="9"/>
      <c r="D1" s="9"/>
      <c r="E1" s="9"/>
      <c r="F1" s="9"/>
      <c r="G1" s="9"/>
    </row>
    <row r="3" spans="1:7" ht="30">
      <c r="A3" s="1" t="s">
        <v>52</v>
      </c>
      <c r="B3" s="1" t="s">
        <v>53</v>
      </c>
      <c r="C3" s="1" t="s">
        <v>54</v>
      </c>
      <c r="D3" s="1" t="s">
        <v>55</v>
      </c>
      <c r="E3" s="1" t="s">
        <v>28</v>
      </c>
      <c r="F3" s="1" t="s">
        <v>56</v>
      </c>
      <c r="G3" s="1" t="s">
        <v>57</v>
      </c>
    </row>
    <row r="4" spans="1:7">
      <c r="A4" s="2" t="s">
        <v>58</v>
      </c>
      <c r="B4" s="2" t="s">
        <v>59</v>
      </c>
      <c r="C4" s="2">
        <v>9</v>
      </c>
      <c r="D4" s="2" t="s">
        <v>60</v>
      </c>
      <c r="E4" s="2" t="s">
        <v>35</v>
      </c>
      <c r="F4" s="2"/>
      <c r="G4" s="2"/>
    </row>
    <row r="5" spans="1:7">
      <c r="A5" s="2" t="s">
        <v>61</v>
      </c>
      <c r="B5" s="2" t="s">
        <v>62</v>
      </c>
      <c r="C5" s="2">
        <v>97</v>
      </c>
      <c r="D5" s="2" t="s">
        <v>60</v>
      </c>
      <c r="E5" s="2" t="s">
        <v>35</v>
      </c>
      <c r="F5" s="2"/>
      <c r="G5" s="2"/>
    </row>
    <row r="6" spans="1:7">
      <c r="A6" s="2" t="s">
        <v>63</v>
      </c>
      <c r="B6" s="2" t="s">
        <v>64</v>
      </c>
      <c r="C6" s="2">
        <v>74</v>
      </c>
      <c r="D6" s="2" t="s">
        <v>65</v>
      </c>
      <c r="E6" s="2" t="s">
        <v>35</v>
      </c>
      <c r="F6" s="2"/>
      <c r="G6" s="2" t="s">
        <v>66</v>
      </c>
    </row>
    <row r="7" spans="1:7">
      <c r="A7" s="2" t="s">
        <v>67</v>
      </c>
      <c r="B7" s="2" t="s">
        <v>68</v>
      </c>
      <c r="C7" s="2">
        <v>29</v>
      </c>
      <c r="D7" s="2" t="s">
        <v>69</v>
      </c>
      <c r="E7" s="2" t="s">
        <v>35</v>
      </c>
      <c r="F7" s="2"/>
      <c r="G7" s="2"/>
    </row>
    <row r="8" spans="1:7">
      <c r="A8" s="2"/>
      <c r="B8" s="2"/>
      <c r="C8" s="2"/>
      <c r="D8" s="2"/>
      <c r="E8" s="2"/>
      <c r="F8" s="2"/>
      <c r="G8" s="2"/>
    </row>
    <row r="9" spans="1:7">
      <c r="A9" s="2"/>
      <c r="B9" s="2"/>
      <c r="C9" s="2"/>
      <c r="D9" s="2"/>
      <c r="E9" s="2"/>
      <c r="F9" s="2"/>
      <c r="G9" s="2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zoomScaleNormal="100" zoomScaleSheetLayoutView="100" workbookViewId="0">
      <selection activeCell="G17" sqref="G17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9" t="s">
        <v>6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3"/>
    <row r="3" spans="1:13" ht="30">
      <c r="A3" s="1" t="s">
        <v>70</v>
      </c>
      <c r="B3" s="1" t="s">
        <v>71</v>
      </c>
      <c r="C3" s="1" t="s">
        <v>72</v>
      </c>
      <c r="D3" s="1" t="s">
        <v>73</v>
      </c>
      <c r="E3" s="1" t="s">
        <v>74</v>
      </c>
      <c r="F3" s="1" t="s">
        <v>75</v>
      </c>
      <c r="G3" s="1" t="s">
        <v>76</v>
      </c>
      <c r="H3" s="1" t="s">
        <v>77</v>
      </c>
      <c r="I3" s="1" t="s">
        <v>78</v>
      </c>
      <c r="J3" s="1" t="s">
        <v>79</v>
      </c>
      <c r="K3" s="1" t="s">
        <v>80</v>
      </c>
      <c r="L3" s="1" t="s">
        <v>81</v>
      </c>
      <c r="M3" s="1" t="s">
        <v>57</v>
      </c>
    </row>
    <row r="4" spans="1:13">
      <c r="A4" s="2" t="s">
        <v>82</v>
      </c>
      <c r="B4" s="7">
        <v>46264</v>
      </c>
      <c r="C4" s="6">
        <v>0.71875</v>
      </c>
      <c r="D4" s="2" t="s">
        <v>36</v>
      </c>
      <c r="E4" s="2" t="s">
        <v>83</v>
      </c>
      <c r="F4" s="2" t="s">
        <v>84</v>
      </c>
      <c r="G4" s="2"/>
      <c r="H4" s="2"/>
      <c r="I4" s="3" t="str">
        <f t="shared" ref="I4:I35" si="0">IF(OR(G4="",H4=""),"",IF(G4&gt;H4,"W",IF(G4&lt;H4,"L","T")))</f>
        <v/>
      </c>
      <c r="J4" s="2"/>
      <c r="K4" s="2" t="s">
        <v>40</v>
      </c>
      <c r="L4" s="2" t="s">
        <v>85</v>
      </c>
      <c r="M4" s="2"/>
    </row>
    <row r="5" spans="1:13">
      <c r="A5" s="2" t="s">
        <v>86</v>
      </c>
      <c r="B5" s="7">
        <v>46270</v>
      </c>
      <c r="C5" s="6">
        <v>0.76041666666666663</v>
      </c>
      <c r="D5" s="2" t="s">
        <v>41</v>
      </c>
      <c r="E5" s="2" t="s">
        <v>83</v>
      </c>
      <c r="F5" s="2" t="s">
        <v>84</v>
      </c>
      <c r="G5" s="2"/>
      <c r="H5" s="2"/>
      <c r="I5" s="3" t="str">
        <f t="shared" si="0"/>
        <v/>
      </c>
      <c r="J5" s="2"/>
      <c r="K5" s="2" t="s">
        <v>45</v>
      </c>
      <c r="L5" s="2" t="s">
        <v>85</v>
      </c>
      <c r="M5" s="2"/>
    </row>
    <row r="6" spans="1:13">
      <c r="A6" s="2" t="s">
        <v>87</v>
      </c>
      <c r="B6" s="7">
        <v>46278</v>
      </c>
      <c r="C6" s="6">
        <v>0.77083333333333337</v>
      </c>
      <c r="D6" s="2" t="s">
        <v>47</v>
      </c>
      <c r="E6" s="2" t="s">
        <v>88</v>
      </c>
      <c r="F6" s="2" t="s">
        <v>89</v>
      </c>
      <c r="G6" s="2"/>
      <c r="H6" s="2"/>
      <c r="I6" s="3" t="str">
        <f t="shared" si="0"/>
        <v/>
      </c>
      <c r="J6" s="2"/>
      <c r="K6" s="2" t="s">
        <v>51</v>
      </c>
      <c r="L6" s="2" t="s">
        <v>85</v>
      </c>
      <c r="M6" s="2"/>
    </row>
    <row r="7" spans="1:13">
      <c r="A7" s="2" t="s">
        <v>124</v>
      </c>
      <c r="B7" s="7">
        <v>46284</v>
      </c>
      <c r="C7" s="6">
        <v>0.8125</v>
      </c>
      <c r="D7" s="2" t="s">
        <v>120</v>
      </c>
      <c r="E7" s="2" t="s">
        <v>125</v>
      </c>
      <c r="F7" s="2" t="s">
        <v>89</v>
      </c>
      <c r="G7" s="2"/>
      <c r="H7" s="2"/>
      <c r="I7" s="3" t="str">
        <f t="shared" si="0"/>
        <v/>
      </c>
      <c r="J7" s="2"/>
      <c r="K7" s="2" t="s">
        <v>123</v>
      </c>
      <c r="L7" s="2" t="s">
        <v>85</v>
      </c>
      <c r="M7" s="2"/>
    </row>
    <row r="8" spans="1:13">
      <c r="A8" s="2"/>
      <c r="B8" s="4"/>
      <c r="C8" s="4"/>
      <c r="D8" s="2"/>
      <c r="E8" s="2"/>
      <c r="F8" s="2"/>
      <c r="G8" s="2"/>
      <c r="H8" s="2"/>
      <c r="I8" s="3" t="str">
        <f t="shared" si="0"/>
        <v/>
      </c>
      <c r="J8" s="2"/>
      <c r="K8" s="2"/>
      <c r="L8" s="2"/>
      <c r="M8" s="2"/>
    </row>
    <row r="9" spans="1:13">
      <c r="A9" s="2"/>
      <c r="B9" s="4"/>
      <c r="C9" s="4"/>
      <c r="D9" s="2"/>
      <c r="E9" s="2"/>
      <c r="F9" s="2"/>
      <c r="G9" s="2"/>
      <c r="H9" s="2"/>
      <c r="I9" s="3" t="str">
        <f t="shared" si="0"/>
        <v/>
      </c>
      <c r="J9" s="2"/>
      <c r="K9" s="2"/>
      <c r="L9" s="2"/>
      <c r="M9" s="2"/>
    </row>
    <row r="10" spans="1:13">
      <c r="A10" s="2"/>
      <c r="B10" s="4"/>
      <c r="C10" s="4"/>
      <c r="D10" s="2"/>
      <c r="E10" s="2"/>
      <c r="F10" s="2"/>
      <c r="G10" s="2"/>
      <c r="H10" s="2"/>
      <c r="I10" s="3" t="str">
        <f t="shared" si="0"/>
        <v/>
      </c>
      <c r="J10" s="2"/>
      <c r="K10" s="2"/>
      <c r="L10" s="2"/>
      <c r="M10" s="2"/>
    </row>
    <row r="11" spans="1:13">
      <c r="A11" s="2"/>
      <c r="B11" s="4"/>
      <c r="C11" s="4"/>
      <c r="D11" s="2"/>
      <c r="E11" s="2"/>
      <c r="F11" s="2"/>
      <c r="G11" s="2"/>
      <c r="H11" s="2"/>
      <c r="I11" s="3" t="str">
        <f t="shared" si="0"/>
        <v/>
      </c>
      <c r="J11" s="2"/>
      <c r="K11" s="2"/>
      <c r="L11" s="2"/>
      <c r="M11" s="2"/>
    </row>
    <row r="12" spans="1:13">
      <c r="A12" s="2"/>
      <c r="B12" s="4"/>
      <c r="C12" s="4"/>
      <c r="D12" s="2"/>
      <c r="E12" s="2"/>
      <c r="F12" s="2"/>
      <c r="G12" s="2"/>
      <c r="H12" s="2"/>
      <c r="I12" s="3" t="str">
        <f t="shared" si="0"/>
        <v/>
      </c>
      <c r="J12" s="2"/>
      <c r="K12" s="2"/>
      <c r="L12" s="2"/>
      <c r="M12" s="2"/>
    </row>
    <row r="13" spans="1:13">
      <c r="A13" s="2"/>
      <c r="B13" s="4"/>
      <c r="C13" s="4"/>
      <c r="D13" s="2"/>
      <c r="E13" s="2"/>
      <c r="F13" s="2"/>
      <c r="G13" s="2"/>
      <c r="H13" s="2"/>
      <c r="I13" s="3" t="str">
        <f t="shared" si="0"/>
        <v/>
      </c>
      <c r="J13" s="2"/>
      <c r="K13" s="2"/>
      <c r="L13" s="2"/>
      <c r="M13" s="2"/>
    </row>
    <row r="14" spans="1:13">
      <c r="A14" s="2"/>
      <c r="B14" s="4"/>
      <c r="C14" s="4"/>
      <c r="D14" s="2"/>
      <c r="E14" s="2"/>
      <c r="F14" s="2"/>
      <c r="G14" s="2"/>
      <c r="H14" s="2"/>
      <c r="I14" s="3" t="str">
        <f t="shared" si="0"/>
        <v/>
      </c>
      <c r="J14" s="2"/>
      <c r="K14" s="2"/>
      <c r="L14" s="2"/>
      <c r="M14" s="2"/>
    </row>
    <row r="15" spans="1:13">
      <c r="A15" s="2"/>
      <c r="B15" s="4"/>
      <c r="C15" s="4"/>
      <c r="D15" s="2"/>
      <c r="E15" s="2"/>
      <c r="F15" s="2"/>
      <c r="G15" s="2"/>
      <c r="H15" s="2"/>
      <c r="I15" s="3" t="str">
        <f t="shared" si="0"/>
        <v/>
      </c>
      <c r="J15" s="2"/>
      <c r="K15" s="2"/>
      <c r="L15" s="2"/>
      <c r="M15" s="2"/>
    </row>
    <row r="16" spans="1:13">
      <c r="A16" s="2"/>
      <c r="B16" s="4"/>
      <c r="C16" s="4"/>
      <c r="D16" s="2"/>
      <c r="E16" s="2"/>
      <c r="F16" s="2"/>
      <c r="G16" s="2"/>
      <c r="H16" s="2"/>
      <c r="I16" s="3" t="str">
        <f t="shared" si="0"/>
        <v/>
      </c>
      <c r="J16" s="2"/>
      <c r="K16" s="2"/>
      <c r="L16" s="2"/>
      <c r="M16" s="2"/>
    </row>
    <row r="17" spans="1:13">
      <c r="A17" s="2"/>
      <c r="B17" s="4"/>
      <c r="C17" s="4"/>
      <c r="D17" s="2"/>
      <c r="E17" s="2"/>
      <c r="F17" s="2"/>
      <c r="G17" s="2"/>
      <c r="H17" s="2"/>
      <c r="I17" s="3" t="str">
        <f t="shared" si="0"/>
        <v/>
      </c>
      <c r="J17" s="2"/>
      <c r="K17" s="2"/>
      <c r="L17" s="2"/>
      <c r="M17" s="2"/>
    </row>
    <row r="18" spans="1:13">
      <c r="A18" s="2"/>
      <c r="B18" s="4"/>
      <c r="C18" s="4"/>
      <c r="D18" s="2"/>
      <c r="E18" s="2"/>
      <c r="F18" s="2"/>
      <c r="G18" s="2"/>
      <c r="H18" s="2"/>
      <c r="I18" s="3" t="str">
        <f t="shared" si="0"/>
        <v/>
      </c>
      <c r="J18" s="2"/>
      <c r="K18" s="2"/>
      <c r="L18" s="2"/>
      <c r="M18" s="2"/>
    </row>
    <row r="19" spans="1:13">
      <c r="A19" s="2"/>
      <c r="B19" s="4"/>
      <c r="C19" s="4"/>
      <c r="D19" s="2"/>
      <c r="E19" s="2"/>
      <c r="F19" s="2"/>
      <c r="G19" s="2"/>
      <c r="H19" s="2"/>
      <c r="I19" s="3" t="str">
        <f t="shared" si="0"/>
        <v/>
      </c>
      <c r="J19" s="2"/>
      <c r="K19" s="2"/>
      <c r="L19" s="2"/>
      <c r="M19" s="2"/>
    </row>
    <row r="20" spans="1:13">
      <c r="A20" s="2"/>
      <c r="B20" s="4"/>
      <c r="C20" s="4"/>
      <c r="D20" s="2"/>
      <c r="E20" s="2"/>
      <c r="F20" s="2"/>
      <c r="G20" s="2"/>
      <c r="H20" s="2"/>
      <c r="I20" s="3" t="str">
        <f t="shared" si="0"/>
        <v/>
      </c>
      <c r="J20" s="2"/>
      <c r="K20" s="2"/>
      <c r="L20" s="2"/>
      <c r="M20" s="2"/>
    </row>
    <row r="21" spans="1:13">
      <c r="A21" s="2"/>
      <c r="B21" s="4"/>
      <c r="C21" s="4"/>
      <c r="D21" s="2"/>
      <c r="E21" s="2"/>
      <c r="F21" s="2"/>
      <c r="G21" s="2"/>
      <c r="H21" s="2"/>
      <c r="I21" s="3" t="str">
        <f t="shared" si="0"/>
        <v/>
      </c>
      <c r="J21" s="2"/>
      <c r="K21" s="2"/>
      <c r="L21" s="2"/>
      <c r="M21" s="2"/>
    </row>
    <row r="22" spans="1:13">
      <c r="A22" s="2"/>
      <c r="B22" s="4"/>
      <c r="C22" s="4"/>
      <c r="D22" s="2"/>
      <c r="E22" s="2"/>
      <c r="F22" s="2"/>
      <c r="G22" s="2"/>
      <c r="H22" s="2"/>
      <c r="I22" s="3" t="str">
        <f t="shared" si="0"/>
        <v/>
      </c>
      <c r="J22" s="2"/>
      <c r="K22" s="2"/>
      <c r="L22" s="2"/>
      <c r="M22" s="2"/>
    </row>
    <row r="23" spans="1:13">
      <c r="A23" s="2"/>
      <c r="B23" s="4"/>
      <c r="C23" s="4"/>
      <c r="D23" s="2"/>
      <c r="E23" s="2"/>
      <c r="F23" s="2"/>
      <c r="G23" s="2"/>
      <c r="H23" s="2"/>
      <c r="I23" s="3" t="str">
        <f t="shared" si="0"/>
        <v/>
      </c>
      <c r="J23" s="2"/>
      <c r="K23" s="2"/>
      <c r="L23" s="2"/>
      <c r="M23" s="2"/>
    </row>
    <row r="24" spans="1:13">
      <c r="A24" s="2"/>
      <c r="B24" s="4"/>
      <c r="C24" s="4"/>
      <c r="D24" s="2"/>
      <c r="E24" s="2"/>
      <c r="F24" s="2"/>
      <c r="G24" s="2"/>
      <c r="H24" s="2"/>
      <c r="I24" s="3" t="str">
        <f t="shared" si="0"/>
        <v/>
      </c>
      <c r="J24" s="2"/>
      <c r="K24" s="2"/>
      <c r="L24" s="2"/>
      <c r="M24" s="2"/>
    </row>
    <row r="25" spans="1:13">
      <c r="A25" s="2"/>
      <c r="B25" s="4"/>
      <c r="C25" s="4"/>
      <c r="D25" s="2"/>
      <c r="E25" s="2"/>
      <c r="F25" s="2"/>
      <c r="G25" s="2"/>
      <c r="H25" s="2"/>
      <c r="I25" s="3" t="str">
        <f t="shared" si="0"/>
        <v/>
      </c>
      <c r="J25" s="2"/>
      <c r="K25" s="2"/>
      <c r="L25" s="2"/>
      <c r="M25" s="2"/>
    </row>
    <row r="26" spans="1:13">
      <c r="A26" s="2"/>
      <c r="B26" s="4"/>
      <c r="C26" s="4"/>
      <c r="D26" s="2"/>
      <c r="E26" s="2"/>
      <c r="F26" s="2"/>
      <c r="G26" s="2"/>
      <c r="H26" s="2"/>
      <c r="I26" s="3" t="str">
        <f t="shared" si="0"/>
        <v/>
      </c>
      <c r="J26" s="2"/>
      <c r="K26" s="2"/>
      <c r="L26" s="2"/>
      <c r="M26" s="2"/>
    </row>
    <row r="27" spans="1:13">
      <c r="A27" s="2"/>
      <c r="B27" s="4"/>
      <c r="C27" s="4"/>
      <c r="D27" s="2"/>
      <c r="E27" s="2"/>
      <c r="F27" s="2"/>
      <c r="G27" s="2"/>
      <c r="H27" s="2"/>
      <c r="I27" s="3" t="str">
        <f t="shared" si="0"/>
        <v/>
      </c>
      <c r="J27" s="2"/>
      <c r="K27" s="2"/>
      <c r="L27" s="2"/>
      <c r="M27" s="2"/>
    </row>
    <row r="28" spans="1:13">
      <c r="A28" s="2"/>
      <c r="B28" s="4"/>
      <c r="C28" s="4"/>
      <c r="D28" s="2"/>
      <c r="E28" s="2"/>
      <c r="F28" s="2"/>
      <c r="G28" s="2"/>
      <c r="H28" s="2"/>
      <c r="I28" s="3" t="str">
        <f t="shared" si="0"/>
        <v/>
      </c>
      <c r="J28" s="2"/>
      <c r="K28" s="2"/>
      <c r="L28" s="2"/>
      <c r="M28" s="2"/>
    </row>
    <row r="29" spans="1:13">
      <c r="A29" s="2"/>
      <c r="B29" s="4"/>
      <c r="C29" s="4"/>
      <c r="D29" s="2"/>
      <c r="E29" s="2"/>
      <c r="F29" s="2"/>
      <c r="G29" s="2"/>
      <c r="H29" s="2"/>
      <c r="I29" s="3" t="str">
        <f t="shared" si="0"/>
        <v/>
      </c>
      <c r="J29" s="2"/>
      <c r="K29" s="2"/>
      <c r="L29" s="2"/>
      <c r="M29" s="2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27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3">
    <dataValidation type="list" sqref="E4:E200" xr:uid="{00000000-0002-0000-0200-000000000000}">
      <formula1>"Home,Away"</formula1>
    </dataValidation>
    <dataValidation type="list" sqref="F4:F200" xr:uid="{00000000-0002-0000-0200-000001000000}">
      <formula1>"Pre-season,League,Cup,Playoff"</formula1>
    </dataValidation>
    <dataValidation type="list" sqref="J4:J200" xr:uid="{00000000-0002-0000-0200-000002000000}">
      <formula1>"No,OT,SO"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/>
  </sheetViews>
  <sheetFormatPr defaultRowHeight="14.25"/>
  <cols>
    <col min="1" max="1" width="55" customWidth="1"/>
    <col min="2" max="2" width="7.375" customWidth="1"/>
    <col min="3" max="3" width="24" customWidth="1"/>
    <col min="4" max="4" width="7.5" customWidth="1"/>
    <col min="5" max="5" width="4.75" customWidth="1"/>
    <col min="6" max="6" width="5.625" customWidth="1"/>
    <col min="7" max="7" width="5.25" customWidth="1"/>
    <col min="8" max="8" width="3.625" customWidth="1"/>
    <col min="9" max="9" width="2.875" customWidth="1"/>
    <col min="10" max="10" width="5" customWidth="1"/>
  </cols>
  <sheetData>
    <row r="1" spans="1:10" ht="20.25">
      <c r="A1" s="9" t="s">
        <v>90</v>
      </c>
      <c r="B1" s="9"/>
      <c r="C1" s="9"/>
      <c r="D1" s="9"/>
      <c r="E1" s="9"/>
      <c r="F1" s="9"/>
      <c r="G1" s="9"/>
      <c r="H1" s="9"/>
      <c r="I1" s="9"/>
      <c r="J1" s="9"/>
    </row>
    <row r="3" spans="1:10" ht="30">
      <c r="A3" s="1" t="s">
        <v>70</v>
      </c>
      <c r="B3" s="1" t="s">
        <v>52</v>
      </c>
      <c r="C3" s="1" t="s">
        <v>91</v>
      </c>
      <c r="D3" s="1" t="s">
        <v>92</v>
      </c>
      <c r="E3" s="1" t="s">
        <v>93</v>
      </c>
      <c r="F3" s="1" t="s">
        <v>94</v>
      </c>
      <c r="G3" s="1" t="s">
        <v>95</v>
      </c>
      <c r="H3" s="1" t="s">
        <v>96</v>
      </c>
      <c r="I3" s="1" t="s">
        <v>97</v>
      </c>
      <c r="J3" s="1" t="s">
        <v>57</v>
      </c>
    </row>
    <row r="4" spans="1:10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 t="shared" ref="G4:G67" si="0">IF(AND(E4="",F4=""),"",SUM(E4:F4))</f>
        <v/>
      </c>
      <c r="H4" s="2"/>
      <c r="I4" s="2"/>
      <c r="J4" s="2"/>
    </row>
    <row r="5" spans="1:10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 t="shared" si="0"/>
        <v/>
      </c>
      <c r="H5" s="2"/>
      <c r="I5" s="2"/>
      <c r="J5" s="2"/>
    </row>
    <row r="6" spans="1:10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 t="shared" si="0"/>
        <v/>
      </c>
      <c r="H6" s="2"/>
      <c r="I6" s="2"/>
      <c r="J6" s="2"/>
    </row>
    <row r="7" spans="1:10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 t="shared" si="0"/>
        <v/>
      </c>
      <c r="H7" s="2"/>
      <c r="I7" s="2"/>
      <c r="J7" s="2"/>
    </row>
    <row r="8" spans="1:10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 t="shared" si="0"/>
        <v/>
      </c>
      <c r="H8" s="2"/>
      <c r="I8" s="2"/>
      <c r="J8" s="2"/>
    </row>
    <row r="9" spans="1:10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 t="shared" si="0"/>
        <v/>
      </c>
      <c r="H9" s="2"/>
      <c r="I9" s="2"/>
      <c r="J9" s="2"/>
    </row>
    <row r="10" spans="1:10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 t="shared" si="0"/>
        <v/>
      </c>
      <c r="H10" s="2"/>
      <c r="I10" s="2"/>
      <c r="J10" s="2"/>
    </row>
    <row r="11" spans="1:10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 t="shared" si="0"/>
        <v/>
      </c>
      <c r="H11" s="2"/>
      <c r="I11" s="2"/>
      <c r="J11" s="2"/>
    </row>
    <row r="12" spans="1:10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 t="shared" si="0"/>
        <v/>
      </c>
      <c r="H12" s="2"/>
      <c r="I12" s="2"/>
      <c r="J12" s="2"/>
    </row>
    <row r="13" spans="1:10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 t="shared" si="0"/>
        <v/>
      </c>
      <c r="H13" s="2"/>
      <c r="I13" s="2"/>
      <c r="J13" s="2"/>
    </row>
    <row r="14" spans="1:10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 t="shared" si="0"/>
        <v/>
      </c>
      <c r="H14" s="2"/>
      <c r="I14" s="2"/>
      <c r="J14" s="2"/>
    </row>
    <row r="15" spans="1:10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 t="shared" si="0"/>
        <v/>
      </c>
      <c r="H15" s="2"/>
      <c r="I15" s="2"/>
      <c r="J15" s="2"/>
    </row>
    <row r="16" spans="1:10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 t="shared" si="0"/>
        <v/>
      </c>
      <c r="H16" s="2"/>
      <c r="I16" s="2"/>
      <c r="J16" s="2"/>
    </row>
    <row r="17" spans="1:10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 t="shared" si="0"/>
        <v/>
      </c>
      <c r="H17" s="2"/>
      <c r="I17" s="2"/>
      <c r="J17" s="2"/>
    </row>
    <row r="18" spans="1:10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 t="shared" si="0"/>
        <v/>
      </c>
      <c r="H18" s="2"/>
      <c r="I18" s="2"/>
      <c r="J18" s="2"/>
    </row>
    <row r="19" spans="1:10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 t="shared" si="0"/>
        <v/>
      </c>
      <c r="H19" s="2"/>
      <c r="I19" s="2"/>
      <c r="J19" s="2"/>
    </row>
    <row r="20" spans="1:10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 t="shared" si="0"/>
        <v/>
      </c>
      <c r="H20" s="2"/>
      <c r="I20" s="2"/>
      <c r="J20" s="2"/>
    </row>
    <row r="21" spans="1:10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 t="shared" si="0"/>
        <v/>
      </c>
      <c r="H21" s="2"/>
      <c r="I21" s="2"/>
      <c r="J21" s="2"/>
    </row>
    <row r="22" spans="1:10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2"/>
      <c r="I22" s="2"/>
      <c r="J22" s="2"/>
    </row>
    <row r="23" spans="1:10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2"/>
      <c r="I23" s="2"/>
      <c r="J23" s="2"/>
    </row>
    <row r="24" spans="1:10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2"/>
      <c r="I24" s="2"/>
      <c r="J24" s="2"/>
    </row>
    <row r="25" spans="1:10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2"/>
      <c r="I25" s="2"/>
      <c r="J25" s="2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15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/>
  </sheetViews>
  <sheetFormatPr defaultRowHeight="14.25"/>
  <cols>
    <col min="1" max="1" width="25.75" customWidth="1"/>
    <col min="2" max="2" width="7.375" customWidth="1"/>
    <col min="3" max="3" width="24" customWidth="1"/>
    <col min="4" max="4" width="6.875" customWidth="1"/>
    <col min="5" max="5" width="10.75" customWidth="1"/>
    <col min="6" max="6" width="10.875" customWidth="1"/>
    <col min="7" max="7" width="4.75" customWidth="1"/>
    <col min="8" max="8" width="5.875" customWidth="1"/>
    <col min="9" max="9" width="7.5" customWidth="1"/>
    <col min="10" max="10" width="7" customWidth="1"/>
    <col min="11" max="11" width="5" customWidth="1"/>
  </cols>
  <sheetData>
    <row r="1" spans="1:11" ht="20.25">
      <c r="A1" s="9" t="s">
        <v>98</v>
      </c>
      <c r="B1" s="9"/>
      <c r="C1" s="9"/>
      <c r="D1" s="9"/>
      <c r="E1" s="9"/>
      <c r="F1" s="9"/>
      <c r="G1" s="9"/>
      <c r="H1" s="9"/>
      <c r="I1" s="9"/>
      <c r="J1" s="9"/>
      <c r="K1" s="9"/>
    </row>
    <row r="3" spans="1:11" ht="30">
      <c r="A3" s="1" t="s">
        <v>70</v>
      </c>
      <c r="B3" s="1" t="s">
        <v>52</v>
      </c>
      <c r="C3" s="1" t="s">
        <v>69</v>
      </c>
      <c r="D3" s="1" t="s">
        <v>99</v>
      </c>
      <c r="E3" s="1" t="s">
        <v>100</v>
      </c>
      <c r="F3" s="1" t="s">
        <v>101</v>
      </c>
      <c r="G3" s="1" t="s">
        <v>102</v>
      </c>
      <c r="H3" s="1" t="s">
        <v>103</v>
      </c>
      <c r="I3" s="1" t="s">
        <v>104</v>
      </c>
      <c r="J3" s="1" t="s">
        <v>105</v>
      </c>
      <c r="K3" s="1" t="s">
        <v>57</v>
      </c>
    </row>
    <row r="4" spans="1:11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 t="shared" ref="G4:G35" si="0">IF(E4="","",E4-F4)</f>
        <v/>
      </c>
      <c r="H4" s="5" t="str">
        <f t="shared" ref="H4:H35" si="1">IF(OR(E4="",E4=0),"",G4/E4)</f>
        <v/>
      </c>
      <c r="I4" s="2"/>
      <c r="J4" s="2"/>
      <c r="K4" s="2"/>
    </row>
    <row r="5" spans="1:11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 t="shared" si="0"/>
        <v/>
      </c>
      <c r="H5" s="5" t="str">
        <f t="shared" si="1"/>
        <v/>
      </c>
      <c r="I5" s="2"/>
      <c r="J5" s="2"/>
      <c r="K5" s="2"/>
    </row>
    <row r="6" spans="1:11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 t="shared" si="0"/>
        <v/>
      </c>
      <c r="H6" s="5" t="str">
        <f t="shared" si="1"/>
        <v/>
      </c>
      <c r="I6" s="2"/>
      <c r="J6" s="2"/>
      <c r="K6" s="2"/>
    </row>
    <row r="7" spans="1:11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 t="shared" si="0"/>
        <v/>
      </c>
      <c r="H7" s="5" t="str">
        <f t="shared" si="1"/>
        <v/>
      </c>
      <c r="I7" s="2"/>
      <c r="J7" s="2"/>
      <c r="K7" s="2"/>
    </row>
    <row r="8" spans="1:11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 t="shared" si="0"/>
        <v/>
      </c>
      <c r="H8" s="5" t="str">
        <f t="shared" si="1"/>
        <v/>
      </c>
      <c r="I8" s="2"/>
      <c r="J8" s="2"/>
      <c r="K8" s="2"/>
    </row>
    <row r="9" spans="1:11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 t="shared" si="0"/>
        <v/>
      </c>
      <c r="H9" s="5" t="str">
        <f t="shared" si="1"/>
        <v/>
      </c>
      <c r="I9" s="2"/>
      <c r="J9" s="2"/>
      <c r="K9" s="2"/>
    </row>
    <row r="10" spans="1:11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 t="shared" si="0"/>
        <v/>
      </c>
      <c r="H10" s="5" t="str">
        <f t="shared" si="1"/>
        <v/>
      </c>
      <c r="I10" s="2"/>
      <c r="J10" s="2"/>
      <c r="K10" s="2"/>
    </row>
    <row r="11" spans="1:11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 t="shared" si="0"/>
        <v/>
      </c>
      <c r="H11" s="5" t="str">
        <f t="shared" si="1"/>
        <v/>
      </c>
      <c r="I11" s="2"/>
      <c r="J11" s="2"/>
      <c r="K11" s="2"/>
    </row>
    <row r="12" spans="1:11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 t="shared" si="0"/>
        <v/>
      </c>
      <c r="H12" s="5" t="str">
        <f t="shared" si="1"/>
        <v/>
      </c>
      <c r="I12" s="2"/>
      <c r="J12" s="2"/>
      <c r="K12" s="2"/>
    </row>
    <row r="13" spans="1:11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 t="shared" si="0"/>
        <v/>
      </c>
      <c r="H13" s="5" t="str">
        <f t="shared" si="1"/>
        <v/>
      </c>
      <c r="I13" s="2"/>
      <c r="J13" s="2"/>
      <c r="K13" s="2"/>
    </row>
    <row r="14" spans="1:11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 t="shared" si="0"/>
        <v/>
      </c>
      <c r="H14" s="5" t="str">
        <f t="shared" si="1"/>
        <v/>
      </c>
      <c r="I14" s="2"/>
      <c r="J14" s="2"/>
      <c r="K14" s="2"/>
    </row>
    <row r="15" spans="1:11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 t="shared" si="0"/>
        <v/>
      </c>
      <c r="H15" s="5" t="str">
        <f t="shared" si="1"/>
        <v/>
      </c>
      <c r="I15" s="2"/>
      <c r="J15" s="2"/>
      <c r="K15" s="2"/>
    </row>
    <row r="16" spans="1:11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 t="shared" si="0"/>
        <v/>
      </c>
      <c r="H16" s="5" t="str">
        <f t="shared" si="1"/>
        <v/>
      </c>
      <c r="I16" s="2"/>
      <c r="J16" s="2"/>
      <c r="K16" s="2"/>
    </row>
    <row r="17" spans="1:11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 t="shared" si="0"/>
        <v/>
      </c>
      <c r="H17" s="5" t="str">
        <f t="shared" si="1"/>
        <v/>
      </c>
      <c r="I17" s="2"/>
      <c r="J17" s="2"/>
      <c r="K17" s="2"/>
    </row>
    <row r="18" spans="1:11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 t="shared" si="0"/>
        <v/>
      </c>
      <c r="H18" s="5" t="str">
        <f t="shared" si="1"/>
        <v/>
      </c>
      <c r="I18" s="2"/>
      <c r="J18" s="2"/>
      <c r="K18" s="2"/>
    </row>
    <row r="19" spans="1:11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 t="shared" si="0"/>
        <v/>
      </c>
      <c r="H19" s="5" t="str">
        <f t="shared" si="1"/>
        <v/>
      </c>
      <c r="I19" s="2"/>
      <c r="J19" s="2"/>
      <c r="K19" s="2"/>
    </row>
    <row r="20" spans="1:11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 t="shared" si="0"/>
        <v/>
      </c>
      <c r="H20" s="5" t="str">
        <f t="shared" si="1"/>
        <v/>
      </c>
      <c r="I20" s="2"/>
      <c r="J20" s="2"/>
      <c r="K20" s="2"/>
    </row>
    <row r="21" spans="1:11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 t="shared" si="0"/>
        <v/>
      </c>
      <c r="H21" s="5" t="str">
        <f t="shared" si="1"/>
        <v/>
      </c>
      <c r="I21" s="2"/>
      <c r="J21" s="2"/>
      <c r="K21" s="2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27" si="12">IF(E196="","",E196-F196)</f>
        <v/>
      </c>
      <c r="H196" s="5" t="str">
        <f t="shared" ref="H196:H227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K10" sqref="K10"/>
    </sheetView>
  </sheetViews>
  <sheetFormatPr defaultRowHeight="14.25"/>
  <cols>
    <col min="1" max="1" width="37.25" customWidth="1"/>
    <col min="2" max="2" width="24" customWidth="1"/>
    <col min="3" max="3" width="2.375" customWidth="1"/>
    <col min="4" max="4" width="8.625" customWidth="1"/>
    <col min="5" max="5" width="2.75" customWidth="1"/>
    <col min="6" max="6" width="1.75" customWidth="1"/>
    <col min="7" max="7" width="1.625" customWidth="1"/>
    <col min="8" max="8" width="3.25" customWidth="1"/>
    <col min="9" max="9" width="3.625" customWidth="1"/>
    <col min="10" max="10" width="2.875" customWidth="1"/>
    <col min="12" max="12" width="12" customWidth="1"/>
    <col min="13" max="13" width="4.75" customWidth="1"/>
  </cols>
  <sheetData>
    <row r="1" spans="1:13" ht="20.25">
      <c r="A1" s="9" t="s">
        <v>106</v>
      </c>
      <c r="B1" s="9"/>
      <c r="C1" s="9"/>
      <c r="D1" s="9"/>
      <c r="E1" s="9"/>
      <c r="F1" s="9"/>
      <c r="G1" s="9"/>
      <c r="H1" s="9"/>
      <c r="I1" s="9"/>
      <c r="J1" s="9"/>
    </row>
    <row r="2" spans="1:13" ht="30">
      <c r="L2" s="1" t="s">
        <v>107</v>
      </c>
      <c r="M2" s="1" t="s">
        <v>108</v>
      </c>
    </row>
    <row r="3" spans="1:13" ht="45">
      <c r="A3" s="1" t="s">
        <v>52</v>
      </c>
      <c r="B3" s="1" t="s">
        <v>109</v>
      </c>
      <c r="C3" s="1" t="s">
        <v>110</v>
      </c>
      <c r="D3" s="1" t="s">
        <v>111</v>
      </c>
      <c r="E3" s="1" t="s">
        <v>112</v>
      </c>
      <c r="F3" s="1" t="s">
        <v>113</v>
      </c>
      <c r="G3" s="1" t="s">
        <v>83</v>
      </c>
      <c r="H3" s="1" t="s">
        <v>114</v>
      </c>
      <c r="I3" s="1" t="s">
        <v>96</v>
      </c>
      <c r="J3" s="1" t="s">
        <v>97</v>
      </c>
      <c r="L3" t="s">
        <v>115</v>
      </c>
      <c r="M3">
        <f>COUNT(Games!$A$4:$A$200)</f>
        <v>0</v>
      </c>
    </row>
    <row r="4" spans="1:13">
      <c r="A4" t="str">
        <f>IF(Players!A4="","",Players!A4)</f>
        <v>P001</v>
      </c>
      <c r="B4" t="str">
        <f>IF(A4="","",IFERROR(VLOOKUP(A4,Players!$A$4:$D$200,2,FALSE),""))</f>
        <v>Sam Peters</v>
      </c>
      <c r="C4">
        <f>IF(A4="","",IFERROR(VLOOKUP(A4,Players!$A$4:$D$200,3,FALSE),""))</f>
        <v>9</v>
      </c>
      <c r="D4" t="str">
        <f>IF(A4="","",IFERROR(VLOOKUP(A4,Players!$A$4:$D$200,4,FALSE),""))</f>
        <v>Forward</v>
      </c>
      <c r="E4">
        <f>IF(A4="","",COUNTIFS('Player Game Stats'!$B$4:$B$500,A4,'Player Game Stats'!$D$4:$D$500,"Yes"))</f>
        <v>0</v>
      </c>
      <c r="F4">
        <f>IF(A4="","",SUMIFS('Player Game Stats'!$E$4:$E$500,'Player Game Stats'!$B$4:$B$500,A4))</f>
        <v>0</v>
      </c>
      <c r="G4">
        <f>IF(A4="","",SUMIFS('Player Game Stats'!$F$4:$F$500,'Player Game Stats'!$B$4:$B$500,A4))</f>
        <v>0</v>
      </c>
      <c r="H4">
        <f t="shared" ref="H4:H35" si="0">IF(A4="","",F4+G4)</f>
        <v>0</v>
      </c>
      <c r="I4">
        <f>IF(A4="","",SUMIFS('Player Game Stats'!$H$4:$H$500,'Player Game Stats'!$B$4:$B$500,A4))</f>
        <v>0</v>
      </c>
      <c r="J4">
        <f>IF(A4="","",SUMIFS('Player Game Stats'!$I$4:$I$500,'Player Game Stats'!$B$4:$B$500,A4))</f>
        <v>0</v>
      </c>
      <c r="L4" t="s">
        <v>116</v>
      </c>
      <c r="M4">
        <f>SUM(Games!$G$4:$G$200)</f>
        <v>0</v>
      </c>
    </row>
    <row r="5" spans="1:13">
      <c r="A5" t="str">
        <f>IF(Players!A5="","",Players!A5)</f>
        <v>P002</v>
      </c>
      <c r="B5" t="str">
        <f>IF(A5="","",IFERROR(VLOOKUP(A5,Players!$A$4:$D$200,2,FALSE),""))</f>
        <v>Marks Kanins</v>
      </c>
      <c r="C5">
        <f>IF(A5="","",IFERROR(VLOOKUP(A5,Players!$A$4:$D$200,3,FALSE),""))</f>
        <v>97</v>
      </c>
      <c r="D5" t="str">
        <f>IF(A5="","",IFERROR(VLOOKUP(A5,Players!$A$4:$D$200,4,FALSE),""))</f>
        <v>Forward</v>
      </c>
      <c r="E5">
        <f>IF(A5="","",COUNTIFS('Player Game Stats'!$B$4:$B$500,A5,'Player Game Stats'!$D$4:$D$500,"Yes"))</f>
        <v>0</v>
      </c>
      <c r="F5">
        <f>IF(A5="","",SUMIFS('Player Game Stats'!$E$4:$E$500,'Player Game Stats'!$B$4:$B$500,A5))</f>
        <v>0</v>
      </c>
      <c r="G5">
        <f>IF(A5="","",SUMIFS('Player Game Stats'!$F$4:$F$500,'Player Game Stats'!$B$4:$B$500,A5))</f>
        <v>0</v>
      </c>
      <c r="H5">
        <f t="shared" si="0"/>
        <v>0</v>
      </c>
      <c r="I5">
        <f>IF(A5="","",SUMIFS('Player Game Stats'!$H$4:$H$500,'Player Game Stats'!$B$4:$B$500,A5))</f>
        <v>0</v>
      </c>
      <c r="J5">
        <f>IF(A5="","",SUMIFS('Player Game Stats'!$I$4:$I$500,'Player Game Stats'!$B$4:$B$500,A5))</f>
        <v>0</v>
      </c>
      <c r="L5" t="s">
        <v>117</v>
      </c>
      <c r="M5">
        <f>SUM(Games!$H$4:$H$200)</f>
        <v>0</v>
      </c>
    </row>
    <row r="6" spans="1:13">
      <c r="A6" t="str">
        <f>IF(Players!A6="","",Players!A6)</f>
        <v>P003</v>
      </c>
      <c r="B6" t="str">
        <f>IF(A6="","",IFERROR(VLOOKUP(A6,Players!$A$4:$D$200,2,FALSE),""))</f>
        <v>Dominic Wealthall</v>
      </c>
      <c r="C6">
        <f>IF(A6="","",IFERROR(VLOOKUP(A6,Players!$A$4:$D$200,3,FALSE),""))</f>
        <v>74</v>
      </c>
      <c r="D6" t="str">
        <f>IF(A6="","",IFERROR(VLOOKUP(A6,Players!$A$4:$D$200,4,FALSE),""))</f>
        <v>Defence</v>
      </c>
      <c r="E6">
        <f>IF(A6="","",COUNTIFS('Player Game Stats'!$B$4:$B$500,A6,'Player Game Stats'!$D$4:$D$500,"Yes"))</f>
        <v>0</v>
      </c>
      <c r="F6">
        <f>IF(A6="","",SUMIFS('Player Game Stats'!$E$4:$E$500,'Player Game Stats'!$B$4:$B$500,A6))</f>
        <v>0</v>
      </c>
      <c r="G6">
        <f>IF(A6="","",SUMIFS('Player Game Stats'!$F$4:$F$500,'Player Game Stats'!$B$4:$B$500,A6))</f>
        <v>0</v>
      </c>
      <c r="H6">
        <f t="shared" si="0"/>
        <v>0</v>
      </c>
      <c r="I6">
        <f>IF(A6="","",SUMIFS('Player Game Stats'!$H$4:$H$500,'Player Game Stats'!$B$4:$B$500,A6))</f>
        <v>0</v>
      </c>
      <c r="J6">
        <f>IF(A6="","",SUMIFS('Player Game Stats'!$I$4:$I$500,'Player Game Stats'!$B$4:$B$500,A6))</f>
        <v>0</v>
      </c>
      <c r="L6" t="s">
        <v>118</v>
      </c>
      <c r="M6">
        <f>COUNTIF(Games!$I$4:$I$200,"W")</f>
        <v>0</v>
      </c>
    </row>
    <row r="7" spans="1:13">
      <c r="A7" t="str">
        <f>IF(Players!A7="","",Players!A7)</f>
        <v>P004</v>
      </c>
      <c r="B7" t="str">
        <f>IF(A7="","",IFERROR(VLOOKUP(A7,Players!$A$4:$D$200,2,FALSE),""))</f>
        <v>Aaron Burton</v>
      </c>
      <c r="C7">
        <f>IF(A7="","",IFERROR(VLOOKUP(A7,Players!$A$4:$D$200,3,FALSE),""))</f>
        <v>29</v>
      </c>
      <c r="D7" t="str">
        <f>IF(A7="","",IFERROR(VLOOKUP(A7,Players!$A$4:$D$200,4,FALSE),""))</f>
        <v>Netminder</v>
      </c>
      <c r="E7">
        <f>IF(A7="","",COUNTIFS('Player Game Stats'!$B$4:$B$500,A7,'Player Game Stats'!$D$4:$D$500,"Yes"))</f>
        <v>0</v>
      </c>
      <c r="F7">
        <f>IF(A7="","",SUMIFS('Player Game Stats'!$E$4:$E$500,'Player Game Stats'!$B$4:$B$500,A7))</f>
        <v>0</v>
      </c>
      <c r="G7">
        <f>IF(A7="","",SUMIFS('Player Game Stats'!$F$4:$F$500,'Player Game Stats'!$B$4:$B$500,A7))</f>
        <v>0</v>
      </c>
      <c r="H7">
        <f t="shared" si="0"/>
        <v>0</v>
      </c>
      <c r="I7">
        <f>IF(A7="","",SUMIFS('Player Game Stats'!$H$4:$H$500,'Player Game Stats'!$B$4:$B$500,A7))</f>
        <v>0</v>
      </c>
      <c r="J7">
        <f>IF(A7="","",SUMIFS('Player Game Stats'!$I$4:$I$500,'Player Game Stats'!$B$4:$B$500,A7))</f>
        <v>0</v>
      </c>
      <c r="L7" t="s">
        <v>119</v>
      </c>
      <c r="M7">
        <f>COUNTIF(Games!$I$4:$I$200,"L")</f>
        <v>0</v>
      </c>
    </row>
    <row r="8" spans="1:13">
      <c r="A8" t="str">
        <f>IF(Players!A8="","",Players!A8)</f>
        <v/>
      </c>
      <c r="B8" t="str">
        <f>IF(A8="","",IFERROR(VLOOKUP(A8,Players!$A$4:$D$200,2,FALSE),""))</f>
        <v/>
      </c>
      <c r="C8" t="str">
        <f>IF(A8="","",IFERROR(VLOOKUP(A8,Players!$A$4:$D$200,3,FALSE),""))</f>
        <v/>
      </c>
      <c r="D8" t="str">
        <f>IF(A8="","",IFERROR(VLOOKUP(A8,Players!$A$4:$D$200,4,FALSE),""))</f>
        <v/>
      </c>
      <c r="E8" t="str">
        <f>IF(A8="","",COUNTIFS('Player Game Stats'!$B$4:$B$500,A8,'Player Game Stats'!$D$4:$D$500,"Yes"))</f>
        <v/>
      </c>
      <c r="F8" t="str">
        <f>IF(A8="","",SUMIFS('Player Game Stats'!$E$4:$E$500,'Player Game Stats'!$B$4:$B$500,A8))</f>
        <v/>
      </c>
      <c r="G8" t="str">
        <f>IF(A8="","",SUMIFS('Player Game Stats'!$F$4:$F$500,'Player Game Stats'!$B$4:$B$500,A8))</f>
        <v/>
      </c>
      <c r="H8" t="str">
        <f t="shared" si="0"/>
        <v/>
      </c>
      <c r="I8" t="str">
        <f>IF(A8="","",SUMIFS('Player Game Stats'!$H$4:$H$500,'Player Game Stats'!$B$4:$B$500,A8))</f>
        <v/>
      </c>
      <c r="J8" t="str">
        <f>IF(A8="","",SUMIFS('Player Game Stats'!$I$4:$I$500,'Player Game Stats'!$B$4:$B$500,A8))</f>
        <v/>
      </c>
    </row>
    <row r="9" spans="1:13">
      <c r="A9" t="str">
        <f>IF(Players!A9="","",Players!A9)</f>
        <v/>
      </c>
      <c r="B9" t="str">
        <f>IF(A9="","",IFERROR(VLOOKUP(A9,Players!$A$4:$D$200,2,FALSE),""))</f>
        <v/>
      </c>
      <c r="C9" t="str">
        <f>IF(A9="","",IFERROR(VLOOKUP(A9,Players!$A$4:$D$200,3,FALSE),""))</f>
        <v/>
      </c>
      <c r="D9" t="str">
        <f>IF(A9="","",IFERROR(VLOOKUP(A9,Players!$A$4:$D$200,4,FALSE),""))</f>
        <v/>
      </c>
      <c r="E9" t="str">
        <f>IF(A9="","",COUNTIFS('Player Game Stats'!$B$4:$B$500,A9,'Player Game Stats'!$D$4:$D$500,"Yes"))</f>
        <v/>
      </c>
      <c r="F9" t="str">
        <f>IF(A9="","",SUMIFS('Player Game Stats'!$E$4:$E$500,'Player Game Stats'!$B$4:$B$500,A9))</f>
        <v/>
      </c>
      <c r="G9" t="str">
        <f>IF(A9="","",SUMIFS('Player Game Stats'!$F$4:$F$500,'Player Game Stats'!$B$4:$B$500,A9))</f>
        <v/>
      </c>
      <c r="H9" t="str">
        <f t="shared" si="0"/>
        <v/>
      </c>
      <c r="I9" t="str">
        <f>IF(A9="","",SUMIFS('Player Game Stats'!$H$4:$H$500,'Player Game Stats'!$B$4:$B$500,A9))</f>
        <v/>
      </c>
      <c r="J9" t="str">
        <f>IF(A9="","",SUMIFS('Player Game Stats'!$I$4:$I$500,'Player Game Stats'!$B$4:$B$500,A9))</f>
        <v/>
      </c>
    </row>
    <row r="10" spans="1:13">
      <c r="A10" t="str">
        <f>IF(Players!A10="","",Players!A10)</f>
        <v/>
      </c>
      <c r="B10" t="str">
        <f>IF(A10="","",IFERROR(VLOOKUP(A10,Players!$A$4:$D$200,2,FALSE),""))</f>
        <v/>
      </c>
      <c r="C10" t="str">
        <f>IF(A10="","",IFERROR(VLOOKUP(A10,Players!$A$4:$D$200,3,FALSE),""))</f>
        <v/>
      </c>
      <c r="D10" t="str">
        <f>IF(A10="","",IFERROR(VLOOKUP(A10,Players!$A$4:$D$200,4,FALSE),""))</f>
        <v/>
      </c>
      <c r="E10" t="str">
        <f>IF(A10="","",COUNTIFS('Player Game Stats'!$B$4:$B$500,A10,'Player Game Stats'!$D$4:$D$500,"Yes"))</f>
        <v/>
      </c>
      <c r="F10" t="str">
        <f>IF(A10="","",SUMIFS('Player Game Stats'!$E$4:$E$500,'Player Game Stats'!$B$4:$B$500,A10))</f>
        <v/>
      </c>
      <c r="G10" t="str">
        <f>IF(A10="","",SUMIFS('Player Game Stats'!$F$4:$F$500,'Player Game Stats'!$B$4:$B$500,A10))</f>
        <v/>
      </c>
      <c r="H10" t="str">
        <f t="shared" si="0"/>
        <v/>
      </c>
      <c r="I10" t="str">
        <f>IF(A10="","",SUMIFS('Player Game Stats'!$H$4:$H$500,'Player Game Stats'!$B$4:$B$500,A10))</f>
        <v/>
      </c>
      <c r="J10" t="str">
        <f>IF(A10="","",SUMIFS('Player Game Stats'!$I$4:$I$500,'Player Game Stats'!$B$4:$B$500,A10))</f>
        <v/>
      </c>
    </row>
    <row r="11" spans="1:13">
      <c r="A11" t="str">
        <f>IF(Players!A11="","",Players!A11)</f>
        <v/>
      </c>
      <c r="B11" t="str">
        <f>IF(A11="","",IFERROR(VLOOKUP(A11,Players!$A$4:$D$200,2,FALSE),""))</f>
        <v/>
      </c>
      <c r="C11" t="str">
        <f>IF(A11="","",IFERROR(VLOOKUP(A11,Players!$A$4:$D$200,3,FALSE),""))</f>
        <v/>
      </c>
      <c r="D11" t="str">
        <f>IF(A11="","",IFERROR(VLOOKUP(A11,Players!$A$4:$D$200,4,FALSE),""))</f>
        <v/>
      </c>
      <c r="E11" t="str">
        <f>IF(A11="","",COUNTIFS('Player Game Stats'!$B$4:$B$500,A11,'Player Game Stats'!$D$4:$D$500,"Yes"))</f>
        <v/>
      </c>
      <c r="F11" t="str">
        <f>IF(A11="","",SUMIFS('Player Game Stats'!$E$4:$E$500,'Player Game Stats'!$B$4:$B$500,A11))</f>
        <v/>
      </c>
      <c r="G11" t="str">
        <f>IF(A11="","",SUMIFS('Player Game Stats'!$F$4:$F$500,'Player Game Stats'!$B$4:$B$500,A11))</f>
        <v/>
      </c>
      <c r="H11" t="str">
        <f t="shared" si="0"/>
        <v/>
      </c>
      <c r="I11" t="str">
        <f>IF(A11="","",SUMIFS('Player Game Stats'!$H$4:$H$500,'Player Game Stats'!$B$4:$B$500,A11))</f>
        <v/>
      </c>
      <c r="J11" t="str">
        <f>IF(A11="","",SUMIFS('Player Game Stats'!$I$4:$I$500,'Player Game Stats'!$B$4:$B$500,A11))</f>
        <v/>
      </c>
    </row>
    <row r="12" spans="1:13">
      <c r="A12" t="str">
        <f>IF(Players!A12="","",Players!A12)</f>
        <v/>
      </c>
      <c r="B12" t="str">
        <f>IF(A12="","",IFERROR(VLOOKUP(A12,Players!$A$4:$D$200,2,FALSE),""))</f>
        <v/>
      </c>
      <c r="C12" t="str">
        <f>IF(A12="","",IFERROR(VLOOKUP(A12,Players!$A$4:$D$200,3,FALSE),""))</f>
        <v/>
      </c>
      <c r="D12" t="str">
        <f>IF(A12="","",IFERROR(VLOOKUP(A12,Players!$A$4:$D$200,4,FALSE),""))</f>
        <v/>
      </c>
      <c r="E12" t="str">
        <f>IF(A12="","",COUNTIFS('Player Game Stats'!$B$4:$B$500,A12,'Player Game Stats'!$D$4:$D$500,"Yes"))</f>
        <v/>
      </c>
      <c r="F12" t="str">
        <f>IF(A12="","",SUMIFS('Player Game Stats'!$E$4:$E$500,'Player Game Stats'!$B$4:$B$500,A12))</f>
        <v/>
      </c>
      <c r="G12" t="str">
        <f>IF(A12="","",SUMIFS('Player Game Stats'!$F$4:$F$500,'Player Game Stats'!$B$4:$B$500,A12))</f>
        <v/>
      </c>
      <c r="H12" t="str">
        <f t="shared" si="0"/>
        <v/>
      </c>
      <c r="I12" t="str">
        <f>IF(A12="","",SUMIFS('Player Game Stats'!$H$4:$H$500,'Player Game Stats'!$B$4:$B$500,A12))</f>
        <v/>
      </c>
      <c r="J12" t="str">
        <f>IF(A12="","",SUMIFS('Player Game Stats'!$I$4:$I$500,'Player Game Stats'!$B$4:$B$500,A12))</f>
        <v/>
      </c>
    </row>
    <row r="13" spans="1:13">
      <c r="A13" t="str">
        <f>IF(Players!A13="","",Players!A13)</f>
        <v/>
      </c>
      <c r="B13" t="str">
        <f>IF(A13="","",IFERROR(VLOOKUP(A13,Players!$A$4:$D$200,2,FALSE),""))</f>
        <v/>
      </c>
      <c r="C13" t="str">
        <f>IF(A13="","",IFERROR(VLOOKUP(A13,Players!$A$4:$D$200,3,FALSE),""))</f>
        <v/>
      </c>
      <c r="D13" t="str">
        <f>IF(A13="","",IFERROR(VLOOKUP(A13,Players!$A$4:$D$200,4,FALSE),""))</f>
        <v/>
      </c>
      <c r="E13" t="str">
        <f>IF(A13="","",COUNTIFS('Player Game Stats'!$B$4:$B$500,A13,'Player Game Stats'!$D$4:$D$500,"Yes"))</f>
        <v/>
      </c>
      <c r="F13" t="str">
        <f>IF(A13="","",SUMIFS('Player Game Stats'!$E$4:$E$500,'Player Game Stats'!$B$4:$B$500,A13))</f>
        <v/>
      </c>
      <c r="G13" t="str">
        <f>IF(A13="","",SUMIFS('Player Game Stats'!$F$4:$F$500,'Player Game Stats'!$B$4:$B$500,A13))</f>
        <v/>
      </c>
      <c r="H13" t="str">
        <f t="shared" si="0"/>
        <v/>
      </c>
      <c r="I13" t="str">
        <f>IF(A13="","",SUMIFS('Player Game Stats'!$H$4:$H$500,'Player Game Stats'!$B$4:$B$500,A13))</f>
        <v/>
      </c>
      <c r="J13" t="str">
        <f>IF(A13="","",SUMIFS('Player Game Stats'!$I$4:$I$500,'Player Game Stats'!$B$4:$B$500,A13))</f>
        <v/>
      </c>
    </row>
    <row r="14" spans="1:13">
      <c r="A14" t="str">
        <f>IF(Players!A14="","",Players!A14)</f>
        <v/>
      </c>
      <c r="B14" t="str">
        <f>IF(A14="","",IFERROR(VLOOKUP(A14,Players!$A$4:$D$200,2,FALSE),""))</f>
        <v/>
      </c>
      <c r="C14" t="str">
        <f>IF(A14="","",IFERROR(VLOOKUP(A14,Players!$A$4:$D$200,3,FALSE),""))</f>
        <v/>
      </c>
      <c r="D14" t="str">
        <f>IF(A14="","",IFERROR(VLOOKUP(A14,Players!$A$4:$D$200,4,FALSE),""))</f>
        <v/>
      </c>
      <c r="E14" t="str">
        <f>IF(A14="","",COUNTIFS('Player Game Stats'!$B$4:$B$500,A14,'Player Game Stats'!$D$4:$D$500,"Yes"))</f>
        <v/>
      </c>
      <c r="F14" t="str">
        <f>IF(A14="","",SUMIFS('Player Game Stats'!$E$4:$E$500,'Player Game Stats'!$B$4:$B$500,A14))</f>
        <v/>
      </c>
      <c r="G14" t="str">
        <f>IF(A14="","",SUMIFS('Player Game Stats'!$F$4:$F$500,'Player Game Stats'!$B$4:$B$500,A14))</f>
        <v/>
      </c>
      <c r="H14" t="str">
        <f t="shared" si="0"/>
        <v/>
      </c>
      <c r="I14" t="str">
        <f>IF(A14="","",SUMIFS('Player Game Stats'!$H$4:$H$500,'Player Game Stats'!$B$4:$B$500,A14))</f>
        <v/>
      </c>
      <c r="J14" t="str">
        <f>IF(A14="","",SUMIFS('Player Game Stats'!$I$4:$I$500,'Player Game Stats'!$B$4:$B$500,A14))</f>
        <v/>
      </c>
    </row>
    <row r="15" spans="1:13">
      <c r="A15" t="str">
        <f>IF(Players!A15="","",Players!A15)</f>
        <v/>
      </c>
      <c r="B15" t="str">
        <f>IF(A15="","",IFERROR(VLOOKUP(A15,Players!$A$4:$D$200,2,FALSE),""))</f>
        <v/>
      </c>
      <c r="C15" t="str">
        <f>IF(A15="","",IFERROR(VLOOKUP(A15,Players!$A$4:$D$200,3,FALSE),""))</f>
        <v/>
      </c>
      <c r="D15" t="str">
        <f>IF(A15="","",IFERROR(VLOOKUP(A15,Players!$A$4:$D$200,4,FALSE),""))</f>
        <v/>
      </c>
      <c r="E15" t="str">
        <f>IF(A15="","",COUNTIFS('Player Game Stats'!$B$4:$B$500,A15,'Player Game Stats'!$D$4:$D$500,"Yes"))</f>
        <v/>
      </c>
      <c r="F15" t="str">
        <f>IF(A15="","",SUMIFS('Player Game Stats'!$E$4:$E$500,'Player Game Stats'!$B$4:$B$500,A15))</f>
        <v/>
      </c>
      <c r="G15" t="str">
        <f>IF(A15="","",SUMIFS('Player Game Stats'!$F$4:$F$500,'Player Game Stats'!$B$4:$B$500,A15))</f>
        <v/>
      </c>
      <c r="H15" t="str">
        <f t="shared" si="0"/>
        <v/>
      </c>
      <c r="I15" t="str">
        <f>IF(A15="","",SUMIFS('Player Game Stats'!$H$4:$H$500,'Player Game Stats'!$B$4:$B$500,A15))</f>
        <v/>
      </c>
      <c r="J15" t="str">
        <f>IF(A15="","",SUMIFS('Player Game Stats'!$I$4:$I$500,'Player Game Stats'!$B$4:$B$500,A15))</f>
        <v/>
      </c>
    </row>
    <row r="16" spans="1:13">
      <c r="A16" t="str">
        <f>IF(Players!A16="","",Players!A16)</f>
        <v/>
      </c>
      <c r="B16" t="str">
        <f>IF(A16="","",IFERROR(VLOOKUP(A16,Players!$A$4:$D$200,2,FALSE),""))</f>
        <v/>
      </c>
      <c r="C16" t="str">
        <f>IF(A16="","",IFERROR(VLOOKUP(A16,Players!$A$4:$D$200,3,FALSE),""))</f>
        <v/>
      </c>
      <c r="D16" t="str">
        <f>IF(A16="","",IFERROR(VLOOKUP(A16,Players!$A$4:$D$200,4,FALSE),""))</f>
        <v/>
      </c>
      <c r="E16" t="str">
        <f>IF(A16="","",COUNTIFS('Player Game Stats'!$B$4:$B$500,A16,'Player Game Stats'!$D$4:$D$500,"Yes"))</f>
        <v/>
      </c>
      <c r="F16" t="str">
        <f>IF(A16="","",SUMIFS('Player Game Stats'!$E$4:$E$500,'Player Game Stats'!$B$4:$B$500,A16))</f>
        <v/>
      </c>
      <c r="G16" t="str">
        <f>IF(A16="","",SUMIFS('Player Game Stats'!$F$4:$F$500,'Player Game Stats'!$B$4:$B$500,A16))</f>
        <v/>
      </c>
      <c r="H16" t="str">
        <f t="shared" si="0"/>
        <v/>
      </c>
      <c r="I16" t="str">
        <f>IF(A16="","",SUMIFS('Player Game Stats'!$H$4:$H$500,'Player Game Stats'!$B$4:$B$500,A16))</f>
        <v/>
      </c>
      <c r="J16" t="str">
        <f>IF(A16="","",SUMIFS('Player Game Stats'!$I$4:$I$500,'Player Game Stats'!$B$4:$B$500,A16))</f>
        <v/>
      </c>
    </row>
    <row r="17" spans="1:10">
      <c r="A17" t="str">
        <f>IF(Players!A17="","",Players!A17)</f>
        <v/>
      </c>
      <c r="B17" t="str">
        <f>IF(A17="","",IFERROR(VLOOKUP(A17,Players!$A$4:$D$200,2,FALSE),""))</f>
        <v/>
      </c>
      <c r="C17" t="str">
        <f>IF(A17="","",IFERROR(VLOOKUP(A17,Players!$A$4:$D$200,3,FALSE),""))</f>
        <v/>
      </c>
      <c r="D17" t="str">
        <f>IF(A17="","",IFERROR(VLOOKUP(A17,Players!$A$4:$D$200,4,FALSE),""))</f>
        <v/>
      </c>
      <c r="E17" t="str">
        <f>IF(A17="","",COUNTIFS('Player Game Stats'!$B$4:$B$500,A17,'Player Game Stats'!$D$4:$D$500,"Yes"))</f>
        <v/>
      </c>
      <c r="F17" t="str">
        <f>IF(A17="","",SUMIFS('Player Game Stats'!$E$4:$E$500,'Player Game Stats'!$B$4:$B$500,A17))</f>
        <v/>
      </c>
      <c r="G17" t="str">
        <f>IF(A17="","",SUMIFS('Player Game Stats'!$F$4:$F$500,'Player Game Stats'!$B$4:$B$500,A17))</f>
        <v/>
      </c>
      <c r="H17" t="str">
        <f t="shared" si="0"/>
        <v/>
      </c>
      <c r="I17" t="str">
        <f>IF(A17="","",SUMIFS('Player Game Stats'!$H$4:$H$500,'Player Game Stats'!$B$4:$B$500,A17))</f>
        <v/>
      </c>
      <c r="J17" t="str">
        <f>IF(A17="","",SUMIFS('Player Game Stats'!$I$4:$I$500,'Player Game Stats'!$B$4:$B$500,A17))</f>
        <v/>
      </c>
    </row>
    <row r="18" spans="1:10">
      <c r="A18" t="str">
        <f>IF(Players!A18="","",Players!A18)</f>
        <v/>
      </c>
      <c r="B18" t="str">
        <f>IF(A18="","",IFERROR(VLOOKUP(A18,Players!$A$4:$D$200,2,FALSE),""))</f>
        <v/>
      </c>
      <c r="C18" t="str">
        <f>IF(A18="","",IFERROR(VLOOKUP(A18,Players!$A$4:$D$200,3,FALSE),""))</f>
        <v/>
      </c>
      <c r="D18" t="str">
        <f>IF(A18="","",IFERROR(VLOOKUP(A18,Players!$A$4:$D$200,4,FALSE),""))</f>
        <v/>
      </c>
      <c r="E18" t="str">
        <f>IF(A18="","",COUNTIFS('Player Game Stats'!$B$4:$B$500,A18,'Player Game Stats'!$D$4:$D$500,"Yes"))</f>
        <v/>
      </c>
      <c r="F18" t="str">
        <f>IF(A18="","",SUMIFS('Player Game Stats'!$E$4:$E$500,'Player Game Stats'!$B$4:$B$500,A18))</f>
        <v/>
      </c>
      <c r="G18" t="str">
        <f>IF(A18="","",SUMIFS('Player Game Stats'!$F$4:$F$500,'Player Game Stats'!$B$4:$B$500,A18))</f>
        <v/>
      </c>
      <c r="H18" t="str">
        <f t="shared" si="0"/>
        <v/>
      </c>
      <c r="I18" t="str">
        <f>IF(A18="","",SUMIFS('Player Game Stats'!$H$4:$H$500,'Player Game Stats'!$B$4:$B$500,A18))</f>
        <v/>
      </c>
      <c r="J18" t="str">
        <f>IF(A18="","",SUMIFS('Player Game Stats'!$I$4:$I$500,'Player Game Stats'!$B$4:$B$500,A18))</f>
        <v/>
      </c>
    </row>
    <row r="19" spans="1:10">
      <c r="A19" t="str">
        <f>IF(Players!A19="","",Players!A19)</f>
        <v/>
      </c>
      <c r="B19" t="str">
        <f>IF(A19="","",IFERROR(VLOOKUP(A19,Players!$A$4:$D$200,2,FALSE),""))</f>
        <v/>
      </c>
      <c r="C19" t="str">
        <f>IF(A19="","",IFERROR(VLOOKUP(A19,Players!$A$4:$D$200,3,FALSE),""))</f>
        <v/>
      </c>
      <c r="D19" t="str">
        <f>IF(A19="","",IFERROR(VLOOKUP(A19,Players!$A$4:$D$200,4,FALSE),""))</f>
        <v/>
      </c>
      <c r="E19" t="str">
        <f>IF(A19="","",COUNTIFS('Player Game Stats'!$B$4:$B$500,A19,'Player Game Stats'!$D$4:$D$500,"Yes"))</f>
        <v/>
      </c>
      <c r="F19" t="str">
        <f>IF(A19="","",SUMIFS('Player Game Stats'!$E$4:$E$500,'Player Game Stats'!$B$4:$B$500,A19))</f>
        <v/>
      </c>
      <c r="G19" t="str">
        <f>IF(A19="","",SUMIFS('Player Game Stats'!$F$4:$F$500,'Player Game Stats'!$B$4:$B$500,A19))</f>
        <v/>
      </c>
      <c r="H19" t="str">
        <f t="shared" si="0"/>
        <v/>
      </c>
      <c r="I19" t="str">
        <f>IF(A19="","",SUMIFS('Player Game Stats'!$H$4:$H$500,'Player Game Stats'!$B$4:$B$500,A19))</f>
        <v/>
      </c>
      <c r="J19" t="str">
        <f>IF(A19="","",SUMIFS('Player Game Stats'!$I$4:$I$500,'Player Game Stats'!$B$4:$B$500,A19))</f>
        <v/>
      </c>
    </row>
    <row r="20" spans="1:10">
      <c r="A20" t="str">
        <f>IF(Players!A20="","",Players!A20)</f>
        <v/>
      </c>
      <c r="B20" t="str">
        <f>IF(A20="","",IFERROR(VLOOKUP(A20,Players!$A$4:$D$200,2,FALSE),""))</f>
        <v/>
      </c>
      <c r="C20" t="str">
        <f>IF(A20="","",IFERROR(VLOOKUP(A20,Players!$A$4:$D$200,3,FALSE),""))</f>
        <v/>
      </c>
      <c r="D20" t="str">
        <f>IF(A20="","",IFERROR(VLOOKUP(A20,Players!$A$4:$D$200,4,FALSE),""))</f>
        <v/>
      </c>
      <c r="E20" t="str">
        <f>IF(A20="","",COUNTIFS('Player Game Stats'!$B$4:$B$500,A20,'Player Game Stats'!$D$4:$D$500,"Yes"))</f>
        <v/>
      </c>
      <c r="F20" t="str">
        <f>IF(A20="","",SUMIFS('Player Game Stats'!$E$4:$E$500,'Player Game Stats'!$B$4:$B$500,A20))</f>
        <v/>
      </c>
      <c r="G20" t="str">
        <f>IF(A20="","",SUMIFS('Player Game Stats'!$F$4:$F$500,'Player Game Stats'!$B$4:$B$500,A20))</f>
        <v/>
      </c>
      <c r="H20" t="str">
        <f t="shared" si="0"/>
        <v/>
      </c>
      <c r="I20" t="str">
        <f>IF(A20="","",SUMIFS('Player Game Stats'!$H$4:$H$500,'Player Game Stats'!$B$4:$B$500,A20))</f>
        <v/>
      </c>
      <c r="J20" t="str">
        <f>IF(A20="","",SUMIFS('Player Game Stats'!$I$4:$I$500,'Player Game Stats'!$B$4:$B$500,A20))</f>
        <v/>
      </c>
    </row>
    <row r="21" spans="1:10">
      <c r="A21" t="str">
        <f>IF(Players!A21="","",Players!A21)</f>
        <v/>
      </c>
      <c r="B21" t="str">
        <f>IF(A21="","",IFERROR(VLOOKUP(A21,Players!$A$4:$D$200,2,FALSE),""))</f>
        <v/>
      </c>
      <c r="C21" t="str">
        <f>IF(A21="","",IFERROR(VLOOKUP(A21,Players!$A$4:$D$200,3,FALSE),""))</f>
        <v/>
      </c>
      <c r="D21" t="str">
        <f>IF(A21="","",IFERROR(VLOOKUP(A21,Players!$A$4:$D$200,4,FALSE),""))</f>
        <v/>
      </c>
      <c r="E21" t="str">
        <f>IF(A21="","",COUNTIFS('Player Game Stats'!$B$4:$B$500,A21,'Player Game Stats'!$D$4:$D$500,"Yes"))</f>
        <v/>
      </c>
      <c r="F21" t="str">
        <f>IF(A21="","",SUMIFS('Player Game Stats'!$E$4:$E$500,'Player Game Stats'!$B$4:$B$500,A21))</f>
        <v/>
      </c>
      <c r="G21" t="str">
        <f>IF(A21="","",SUMIFS('Player Game Stats'!$F$4:$F$500,'Player Game Stats'!$B$4:$B$500,A21))</f>
        <v/>
      </c>
      <c r="H21" t="str">
        <f t="shared" si="0"/>
        <v/>
      </c>
      <c r="I21" t="str">
        <f>IF(A21="","",SUMIFS('Player Game Stats'!$H$4:$H$500,'Player Game Stats'!$B$4:$B$500,A21))</f>
        <v/>
      </c>
      <c r="J21" t="str">
        <f>IF(A21="","",SUMIFS('Player Game Stats'!$I$4:$I$500,'Player Game Stats'!$B$4:$B$500,A21))</f>
        <v/>
      </c>
    </row>
    <row r="22" spans="1:10">
      <c r="A22" t="str">
        <f>IF(Players!A22="","",Players!A22)</f>
        <v/>
      </c>
      <c r="B22" t="str">
        <f>IF(A22="","",IFERROR(VLOOKUP(A22,Players!$A$4:$D$200,2,FALSE),""))</f>
        <v/>
      </c>
      <c r="C22" t="str">
        <f>IF(A22="","",IFERROR(VLOOKUP(A22,Players!$A$4:$D$200,3,FALSE),""))</f>
        <v/>
      </c>
      <c r="D22" t="str">
        <f>IF(A22="","",IFERROR(VLOOKUP(A22,Players!$A$4:$D$200,4,FALSE),""))</f>
        <v/>
      </c>
      <c r="E22" t="str">
        <f>IF(A22="","",COUNTIFS('Player Game Stats'!$B$4:$B$500,A22,'Player Game Stats'!$D$4:$D$500,"Yes"))</f>
        <v/>
      </c>
      <c r="F22" t="str">
        <f>IF(A22="","",SUMIFS('Player Game Stats'!$E$4:$E$500,'Player Game Stats'!$B$4:$B$500,A22))</f>
        <v/>
      </c>
      <c r="G22" t="str">
        <f>IF(A22="","",SUMIFS('Player Game Stats'!$F$4:$F$500,'Player Game Stats'!$B$4:$B$500,A22))</f>
        <v/>
      </c>
      <c r="H22" t="str">
        <f t="shared" si="0"/>
        <v/>
      </c>
      <c r="I22" t="str">
        <f>IF(A22="","",SUMIFS('Player Game Stats'!$H$4:$H$500,'Player Game Stats'!$B$4:$B$500,A22))</f>
        <v/>
      </c>
      <c r="J22" t="str">
        <f>IF(A22="","",SUMIFS('Player Game Stats'!$I$4:$I$500,'Player Game Stats'!$B$4:$B$500,A22))</f>
        <v/>
      </c>
    </row>
    <row r="23" spans="1:10">
      <c r="A23" t="str">
        <f>IF(Players!A23="","",Players!A23)</f>
        <v/>
      </c>
      <c r="B23" t="str">
        <f>IF(A23="","",IFERROR(VLOOKUP(A23,Players!$A$4:$D$200,2,FALSE),""))</f>
        <v/>
      </c>
      <c r="C23" t="str">
        <f>IF(A23="","",IFERROR(VLOOKUP(A23,Players!$A$4:$D$200,3,FALSE),""))</f>
        <v/>
      </c>
      <c r="D23" t="str">
        <f>IF(A23="","",IFERROR(VLOOKUP(A23,Players!$A$4:$D$200,4,FALSE),""))</f>
        <v/>
      </c>
      <c r="E23" t="str">
        <f>IF(A23="","",COUNTIFS('Player Game Stats'!$B$4:$B$500,A23,'Player Game Stats'!$D$4:$D$500,"Yes"))</f>
        <v/>
      </c>
      <c r="F23" t="str">
        <f>IF(A23="","",SUMIFS('Player Game Stats'!$E$4:$E$500,'Player Game Stats'!$B$4:$B$500,A23))</f>
        <v/>
      </c>
      <c r="G23" t="str">
        <f>IF(A23="","",SUMIFS('Player Game Stats'!$F$4:$F$500,'Player Game Stats'!$B$4:$B$500,A23))</f>
        <v/>
      </c>
      <c r="H23" t="str">
        <f t="shared" si="0"/>
        <v/>
      </c>
      <c r="I23" t="str">
        <f>IF(A23="","",SUMIFS('Player Game Stats'!$H$4:$H$500,'Player Game Stats'!$B$4:$B$500,A23))</f>
        <v/>
      </c>
      <c r="J23" t="str">
        <f>IF(A23="","",SUMIFS('Player Game Stats'!$I$4:$I$500,'Player Game Stats'!$B$4:$B$500,A23))</f>
        <v/>
      </c>
    </row>
    <row r="24" spans="1:10">
      <c r="A24" t="str">
        <f>IF(Players!A24="","",Players!A24)</f>
        <v/>
      </c>
      <c r="B24" t="str">
        <f>IF(A24="","",IFERROR(VLOOKUP(A24,Players!$A$4:$D$200,2,FALSE),""))</f>
        <v/>
      </c>
      <c r="C24" t="str">
        <f>IF(A24="","",IFERROR(VLOOKUP(A24,Players!$A$4:$D$200,3,FALSE),""))</f>
        <v/>
      </c>
      <c r="D24" t="str">
        <f>IF(A24="","",IFERROR(VLOOKUP(A24,Players!$A$4:$D$200,4,FALSE),""))</f>
        <v/>
      </c>
      <c r="E24" t="str">
        <f>IF(A24="","",COUNTIFS('Player Game Stats'!$B$4:$B$500,A24,'Player Game Stats'!$D$4:$D$500,"Yes"))</f>
        <v/>
      </c>
      <c r="F24" t="str">
        <f>IF(A24="","",SUMIFS('Player Game Stats'!$E$4:$E$500,'Player Game Stats'!$B$4:$B$500,A24))</f>
        <v/>
      </c>
      <c r="G24" t="str">
        <f>IF(A24="","",SUMIFS('Player Game Stats'!$F$4:$F$500,'Player Game Stats'!$B$4:$B$500,A24))</f>
        <v/>
      </c>
      <c r="H24" t="str">
        <f t="shared" si="0"/>
        <v/>
      </c>
      <c r="I24" t="str">
        <f>IF(A24="","",SUMIFS('Player Game Stats'!$H$4:$H$500,'Player Game Stats'!$B$4:$B$500,A24))</f>
        <v/>
      </c>
      <c r="J24" t="str">
        <f>IF(A24="","",SUMIFS('Player Game Stats'!$I$4:$I$500,'Player Game Stats'!$B$4:$B$500,A24))</f>
        <v/>
      </c>
    </row>
    <row r="25" spans="1:10">
      <c r="A25" t="str">
        <f>IF(Players!A25="","",Players!A25)</f>
        <v/>
      </c>
      <c r="B25" t="str">
        <f>IF(A25="","",IFERROR(VLOOKUP(A25,Players!$A$4:$D$200,2,FALSE),""))</f>
        <v/>
      </c>
      <c r="C25" t="str">
        <f>IF(A25="","",IFERROR(VLOOKUP(A25,Players!$A$4:$D$200,3,FALSE),""))</f>
        <v/>
      </c>
      <c r="D25" t="str">
        <f>IF(A25="","",IFERROR(VLOOKUP(A25,Players!$A$4:$D$200,4,FALSE),""))</f>
        <v/>
      </c>
      <c r="E25" t="str">
        <f>IF(A25="","",COUNTIFS('Player Game Stats'!$B$4:$B$500,A25,'Player Game Stats'!$D$4:$D$500,"Yes"))</f>
        <v/>
      </c>
      <c r="F25" t="str">
        <f>IF(A25="","",SUMIFS('Player Game Stats'!$E$4:$E$500,'Player Game Stats'!$B$4:$B$500,A25))</f>
        <v/>
      </c>
      <c r="G25" t="str">
        <f>IF(A25="","",SUMIFS('Player Game Stats'!$F$4:$F$500,'Player Game Stats'!$B$4:$B$500,A25))</f>
        <v/>
      </c>
      <c r="H25" t="str">
        <f t="shared" si="0"/>
        <v/>
      </c>
      <c r="I25" t="str">
        <f>IF(A25="","",SUMIFS('Player Game Stats'!$H$4:$H$500,'Player Game Stats'!$B$4:$B$500,A25))</f>
        <v/>
      </c>
      <c r="J25" t="str">
        <f>IF(A25="","",SUMIFS('Player Game Stats'!$I$4:$I$500,'Player Game Stats'!$B$4:$B$500,A25))</f>
        <v/>
      </c>
    </row>
    <row r="26" spans="1:10">
      <c r="A26" t="str">
        <f>IF(Players!A26="","",Players!A26)</f>
        <v/>
      </c>
      <c r="B26" t="str">
        <f>IF(A26="","",IFERROR(VLOOKUP(A26,Players!$A$4:$D$200,2,FALSE),""))</f>
        <v/>
      </c>
      <c r="C26" t="str">
        <f>IF(A26="","",IFERROR(VLOOKUP(A26,Players!$A$4:$D$200,3,FALSE),""))</f>
        <v/>
      </c>
      <c r="D26" t="str">
        <f>IF(A26="","",IFERROR(VLOOKUP(A26,Players!$A$4:$D$200,4,FALSE),""))</f>
        <v/>
      </c>
      <c r="E26" t="str">
        <f>IF(A26="","",COUNTIFS('Player Game Stats'!$B$4:$B$500,A26,'Player Game Stats'!$D$4:$D$500,"Yes"))</f>
        <v/>
      </c>
      <c r="F26" t="str">
        <f>IF(A26="","",SUMIFS('Player Game Stats'!$E$4:$E$500,'Player Game Stats'!$B$4:$B$500,A26))</f>
        <v/>
      </c>
      <c r="G26" t="str">
        <f>IF(A26="","",SUMIFS('Player Game Stats'!$F$4:$F$500,'Player Game Stats'!$B$4:$B$500,A26))</f>
        <v/>
      </c>
      <c r="H26" t="str">
        <f t="shared" si="0"/>
        <v/>
      </c>
      <c r="I26" t="str">
        <f>IF(A26="","",SUMIFS('Player Game Stats'!$H$4:$H$500,'Player Game Stats'!$B$4:$B$500,A26))</f>
        <v/>
      </c>
      <c r="J26" t="str">
        <f>IF(A26="","",SUMIFS('Player Game Stats'!$I$4:$I$500,'Player Game Stats'!$B$4:$B$500,A26))</f>
        <v/>
      </c>
    </row>
    <row r="27" spans="1:10">
      <c r="A27" t="str">
        <f>IF(Players!A27="","",Players!A27)</f>
        <v/>
      </c>
      <c r="B27" t="str">
        <f>IF(A27="","",IFERROR(VLOOKUP(A27,Players!$A$4:$D$200,2,FALSE),""))</f>
        <v/>
      </c>
      <c r="C27" t="str">
        <f>IF(A27="","",IFERROR(VLOOKUP(A27,Players!$A$4:$D$200,3,FALSE),""))</f>
        <v/>
      </c>
      <c r="D27" t="str">
        <f>IF(A27="","",IFERROR(VLOOKUP(A27,Players!$A$4:$D$200,4,FALSE),""))</f>
        <v/>
      </c>
      <c r="E27" t="str">
        <f>IF(A27="","",COUNTIFS('Player Game Stats'!$B$4:$B$500,A27,'Player Game Stats'!$D$4:$D$500,"Yes"))</f>
        <v/>
      </c>
      <c r="F27" t="str">
        <f>IF(A27="","",SUMIFS('Player Game Stats'!$E$4:$E$500,'Player Game Stats'!$B$4:$B$500,A27))</f>
        <v/>
      </c>
      <c r="G27" t="str">
        <f>IF(A27="","",SUMIFS('Player Game Stats'!$F$4:$F$500,'Player Game Stats'!$B$4:$B$500,A27))</f>
        <v/>
      </c>
      <c r="H27" t="str">
        <f t="shared" si="0"/>
        <v/>
      </c>
      <c r="I27" t="str">
        <f>IF(A27="","",SUMIFS('Player Game Stats'!$H$4:$H$500,'Player Game Stats'!$B$4:$B$500,A27))</f>
        <v/>
      </c>
      <c r="J27" t="str">
        <f>IF(A27="","",SUMIFS('Player Game Stats'!$I$4:$I$500,'Player Game Stats'!$B$4:$B$500,A27))</f>
        <v/>
      </c>
    </row>
    <row r="28" spans="1:10">
      <c r="A28" t="str">
        <f>IF(Players!A28="","",Players!A28)</f>
        <v/>
      </c>
      <c r="B28" t="str">
        <f>IF(A28="","",IFERROR(VLOOKUP(A28,Players!$A$4:$D$200,2,FALSE),""))</f>
        <v/>
      </c>
      <c r="C28" t="str">
        <f>IF(A28="","",IFERROR(VLOOKUP(A28,Players!$A$4:$D$200,3,FALSE),""))</f>
        <v/>
      </c>
      <c r="D28" t="str">
        <f>IF(A28="","",IFERROR(VLOOKUP(A28,Players!$A$4:$D$200,4,FALSE),""))</f>
        <v/>
      </c>
      <c r="E28" t="str">
        <f>IF(A28="","",COUNTIFS('Player Game Stats'!$B$4:$B$500,A28,'Player Game Stats'!$D$4:$D$500,"Yes"))</f>
        <v/>
      </c>
      <c r="F28" t="str">
        <f>IF(A28="","",SUMIFS('Player Game Stats'!$E$4:$E$500,'Player Game Stats'!$B$4:$B$500,A28))</f>
        <v/>
      </c>
      <c r="G28" t="str">
        <f>IF(A28="","",SUMIFS('Player Game Stats'!$F$4:$F$500,'Player Game Stats'!$B$4:$B$500,A28))</f>
        <v/>
      </c>
      <c r="H28" t="str">
        <f t="shared" si="0"/>
        <v/>
      </c>
      <c r="I28" t="str">
        <f>IF(A28="","",SUMIFS('Player Game Stats'!$H$4:$H$500,'Player Game Stats'!$B$4:$B$500,A28))</f>
        <v/>
      </c>
      <c r="J28" t="str">
        <f>IF(A28="","",SUMIFS('Player Game Stats'!$I$4:$I$500,'Player Game Stats'!$B$4:$B$500,A28))</f>
        <v/>
      </c>
    </row>
    <row r="29" spans="1:10">
      <c r="A29" t="str">
        <f>IF(Players!A29="","",Players!A29)</f>
        <v/>
      </c>
      <c r="B29" t="str">
        <f>IF(A29="","",IFERROR(VLOOKUP(A29,Players!$A$4:$D$200,2,FALSE),""))</f>
        <v/>
      </c>
      <c r="C29" t="str">
        <f>IF(A29="","",IFERROR(VLOOKUP(A29,Players!$A$4:$D$200,3,FALSE),""))</f>
        <v/>
      </c>
      <c r="D29" t="str">
        <f>IF(A29="","",IFERROR(VLOOKUP(A29,Players!$A$4:$D$200,4,FALSE),""))</f>
        <v/>
      </c>
      <c r="E29" t="str">
        <f>IF(A29="","",COUNTIFS('Player Game Stats'!$B$4:$B$500,A29,'Player Game Stats'!$D$4:$D$500,"Yes"))</f>
        <v/>
      </c>
      <c r="F29" t="str">
        <f>IF(A29="","",SUMIFS('Player Game Stats'!$E$4:$E$500,'Player Game Stats'!$B$4:$B$500,A29))</f>
        <v/>
      </c>
      <c r="G29" t="str">
        <f>IF(A29="","",SUMIFS('Player Game Stats'!$F$4:$F$500,'Player Game Stats'!$B$4:$B$500,A29))</f>
        <v/>
      </c>
      <c r="H29" t="str">
        <f t="shared" si="0"/>
        <v/>
      </c>
      <c r="I29" t="str">
        <f>IF(A29="","",SUMIFS('Player Game Stats'!$H$4:$H$500,'Player Game Stats'!$B$4:$B$500,A29))</f>
        <v/>
      </c>
      <c r="J29" t="str">
        <f>IF(A29="","",SUMIFS('Player Game Stats'!$I$4:$I$500,'Player Game Stats'!$B$4:$B$500,A29))</f>
        <v/>
      </c>
    </row>
    <row r="30" spans="1:10">
      <c r="A30" t="str">
        <f>IF(Players!A30="","",Players!A30)</f>
        <v/>
      </c>
      <c r="B30" t="str">
        <f>IF(A30="","",IFERROR(VLOOKUP(A30,Players!$A$4:$D$200,2,FALSE),""))</f>
        <v/>
      </c>
      <c r="C30" t="str">
        <f>IF(A30="","",IFERROR(VLOOKUP(A30,Players!$A$4:$D$200,3,FALSE),""))</f>
        <v/>
      </c>
      <c r="D30" t="str">
        <f>IF(A30="","",IFERROR(VLOOKUP(A30,Players!$A$4:$D$200,4,FALSE),""))</f>
        <v/>
      </c>
      <c r="E30" t="str">
        <f>IF(A30="","",COUNTIFS('Player Game Stats'!$B$4:$B$500,A30,'Player Game Stats'!$D$4:$D$500,"Yes"))</f>
        <v/>
      </c>
      <c r="F30" t="str">
        <f>IF(A30="","",SUMIFS('Player Game Stats'!$E$4:$E$500,'Player Game Stats'!$B$4:$B$500,A30))</f>
        <v/>
      </c>
      <c r="G30" t="str">
        <f>IF(A30="","",SUMIFS('Player Game Stats'!$F$4:$F$500,'Player Game Stats'!$B$4:$B$500,A30))</f>
        <v/>
      </c>
      <c r="H30" t="str">
        <f t="shared" si="0"/>
        <v/>
      </c>
      <c r="I30" t="str">
        <f>IF(A30="","",SUMIFS('Player Game Stats'!$H$4:$H$500,'Player Game Stats'!$B$4:$B$500,A30))</f>
        <v/>
      </c>
      <c r="J30" t="str">
        <f>IF(A30="","",SUMIFS('Player Game Stats'!$I$4:$I$500,'Player Game Stats'!$B$4:$B$500,A30))</f>
        <v/>
      </c>
    </row>
    <row r="31" spans="1:10">
      <c r="A31" t="str">
        <f>IF(Players!A31="","",Players!A31)</f>
        <v/>
      </c>
      <c r="B31" t="str">
        <f>IF(A31="","",IFERROR(VLOOKUP(A31,Players!$A$4:$D$200,2,FALSE),""))</f>
        <v/>
      </c>
      <c r="C31" t="str">
        <f>IF(A31="","",IFERROR(VLOOKUP(A31,Players!$A$4:$D$200,3,FALSE),""))</f>
        <v/>
      </c>
      <c r="D31" t="str">
        <f>IF(A31="","",IFERROR(VLOOKUP(A31,Players!$A$4:$D$200,4,FALSE),""))</f>
        <v/>
      </c>
      <c r="E31" t="str">
        <f>IF(A31="","",COUNTIFS('Player Game Stats'!$B$4:$B$500,A31,'Player Game Stats'!$D$4:$D$500,"Yes"))</f>
        <v/>
      </c>
      <c r="F31" t="str">
        <f>IF(A31="","",SUMIFS('Player Game Stats'!$E$4:$E$500,'Player Game Stats'!$B$4:$B$500,A31))</f>
        <v/>
      </c>
      <c r="G31" t="str">
        <f>IF(A31="","",SUMIFS('Player Game Stats'!$F$4:$F$500,'Player Game Stats'!$B$4:$B$500,A31))</f>
        <v/>
      </c>
      <c r="H31" t="str">
        <f t="shared" si="0"/>
        <v/>
      </c>
      <c r="I31" t="str">
        <f>IF(A31="","",SUMIFS('Player Game Stats'!$H$4:$H$500,'Player Game Stats'!$B$4:$B$500,A31))</f>
        <v/>
      </c>
      <c r="J31" t="str">
        <f>IF(A31="","",SUMIFS('Player Game Stats'!$I$4:$I$500,'Player Game Stats'!$B$4:$B$500,A31))</f>
        <v/>
      </c>
    </row>
    <row r="32" spans="1:10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 t="shared" si="0"/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 t="shared" si="0"/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 t="shared" si="0"/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31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Teams</vt:lpstr>
      <vt:lpstr>Players</vt:lpstr>
      <vt:lpstr>Games</vt:lpstr>
      <vt:lpstr>Player Game Stats</vt:lpstr>
      <vt:lpstr>Netminder Stats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2026-08-10T10:58:20Z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