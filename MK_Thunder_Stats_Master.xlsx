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32236E73-9F31-44DB-915F-3AE0FE5E054A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<sst xmlns="http://schemas.openxmlformats.org/spreadsheetml/2006/main" count="519" uniqueCount="275">
  <si>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</si>
  <si>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</si>
  <si>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</si>
  <si>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</si>
  <si>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</si>
  <si>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</si>
  <si>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</si>
  <si>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</si>
  <si>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</si>
  <si>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</si>
  <si>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</si>
  <si>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</si>
  <si>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</si>
  <si>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</si>
  <si>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</si>
  <si>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</si>
  <si>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</si>
  <si>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</si>
  <si>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</si>
  <si>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</si>
  <si>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</si>
  <si>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</si>
  <si>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</si>
  <si>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</si>
  <si>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</si>
  <si>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</si>
  <si>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</si>
  <si>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</si>
  <si>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</si>
  <si>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</si>
  <si>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</si>
  <si>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</si>
  <si>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</si>
  <si>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</si>
  <si>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</si>
  <si>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</si>
  <si>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</si>
  <si>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</si>
  <si>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</si>
  <si>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</si>
  <si>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</si>
  <si>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</si>
  <si>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</si>
  <si>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</si>
  <si>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</si>
  <si>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</si>
  <si>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</si>
  <si>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</si>
  <si>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</si>
  <si>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</si>
  <si>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</si>
  <si>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</si>
  <si>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</si>
  <si>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</si>
  <si>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</si>
  <si>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</si>
  <si>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</si>
  <si>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</si>
  <si>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</si>
  <si>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</si>
  <si>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</si>
  <si>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</si>
  <si>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</si>
  <si>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</si>
  <si>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</si>
  <si>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</si>
  <si>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</si>
  <si>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</si>
  <si>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</si>
  <si>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</si>
  <si>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</si>
  <si>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</si>
  <si>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</si>
  <si>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</si>
  <si>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</si>
  <si>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</si>
  <si>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</si>
  <si>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</si>
  <si>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</si>
  <si>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</si>
  <si>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</si>
  <si>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</si>
  <si>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</si>
  <si>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</si>
  <si>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</si>
  <si>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</si>
  <si>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</si>
  <si>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</si>
  <si>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</si>
  <si>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</si>
  <si>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</si>
  <si>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</si>
  <si>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</si>
  <si>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</si>
  <si>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</si>
  <si>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</si>
  <si>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</si>
  <si>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</si>
  <si>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</si>
  <si>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</si>
  <si>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</si>
  <si>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</si>
  <si>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</si>
  <si>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</si>
  <si>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</si>
  <si>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</si>
  <si>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</si>
  <si>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</si>
  <si>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</si>
  <si>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</si>
  <si>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</si>
  <si>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</si>
  <si>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</si>
  <si>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</si>
  <si>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</si>
  <si>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</si>
  <si>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</si>
  <si>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</si>
  <si>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</si>
  <si>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</si>
  <si>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</si>
  <si>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</si>
  <si>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</si>
  <si>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</si>
  <si>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</si>
  <si>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</si>
  <si>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</si>
  <si>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</si>
  <si>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</si>
  <si>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</si>
  <si>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</si>
  <si>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</si>
  <si>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</si>
  <si>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</si>
  <si>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</si>
  <si>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</si>
  <si>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</si>
  <si>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</si>
  <si>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</si>
  <si>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</si>
  <si>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</si>
  <si>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</si>
  <si>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</si>
  <si>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</si>
  <si>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</si>
  <si>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</si>
  <si>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</si>
  <si>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</si>
  <si>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</si>
  <si>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</si>
  <si>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</si>
  <si>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</si>
  <si>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</si>
  <si>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</si>
  <si>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</si>
  <si>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</si>
  <si>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Harry MacGarvery</t>
  </si>
  <si>
    <t>P014</t>
  </si>
  <si>
    <t>Chalie Conroy</t>
  </si>
  <si>
    <t>P015</t>
  </si>
  <si>
    <t>Oliver Broyd</t>
  </si>
  <si>
    <t>P016</t>
  </si>
  <si>
    <t>Connor Mellett</t>
  </si>
  <si>
    <t>P017</t>
  </si>
  <si>
    <t>Hayden Hagger</t>
  </si>
  <si>
    <t>P018</t>
  </si>
  <si>
    <t>Sam Purcell</t>
  </si>
  <si>
    <t>P019</t>
  </si>
  <si>
    <t>Samuel Rickard</t>
  </si>
  <si>
    <t>P020</t>
  </si>
  <si>
    <t>Oscar Lee</t>
  </si>
  <si>
    <t>P021</t>
  </si>
  <si>
    <t>Jacob Maidment</t>
  </si>
  <si>
    <t>P022</t>
  </si>
  <si>
    <t>Corey Taylor</t>
  </si>
  <si>
    <t>P023</t>
  </si>
  <si>
    <t>James Bryan</t>
  </si>
  <si>
    <t>P024</t>
  </si>
  <si>
    <t>Josh Furnell</t>
  </si>
  <si>
    <t>P025</t>
  </si>
  <si>
    <t>Josh Hickman</t>
  </si>
  <si>
    <t>P026</t>
  </si>
  <si>
    <t>Ryan Wonfor</t>
  </si>
  <si>
    <t>P027</t>
  </si>
  <si>
    <t>Charles Coney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</si>
  <si>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</si>
  <si>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</si>
  <si>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</si>
  <si>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</si>
  <si>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</si>
  <si>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</si>
  <si>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</si>
  <si>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</si>
  <si>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</si>
  <si>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</si>
  <si>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</si>
  <si>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</si>
  <si>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</si>
  <si>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</si>
  <si>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</si>
  <si>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</si>
  <si>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</si>
  <si>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</si>
  <si>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</si>
  <si>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</si>
  <si>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</si>
  <si>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</si>
  <si>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</si>
  <si>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</si>
  <si>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</si>
  <si>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</si>
  <si>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</si>
  <si>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</si>
  <si>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</si>
  <si>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</si>
  <si>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</si>
  <si>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</si>
  <si>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</si>
  <si>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</si>
  <si>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</si>
  <si>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</si>
  <si>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</si>
  <si>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</si>
  <si>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</si>
  <si>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</si>
  <si>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</si>
  <si>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</si>
  <si>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</si>
  <si>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</si>
  <si>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</si>
  <si>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</si>
  <si>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</si>
  <si>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</si>
  <si>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</si>
  <si>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</si>
  <si>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</si>
  <si>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</si>
  <si>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</si>
  <si>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</si>
  <si>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</si>
  <si>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</si>
  <si>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</si>
  <si>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</si>
  <si>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</si>
  <si>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</si>
  <si>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</si>
  <si>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</si>
  <si>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</si>
  <si>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</si>
  <si>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</si>
  <si>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</si>
  <si>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</si>
  <si>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</si>
  <si>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</si>
  <si>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</si>
  <si>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</si>
  <si>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</si>
  <si>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</si>
  <si>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</si>
  <si>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</si>
  <si>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</si>
  <si>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</si>
  <si>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</si>
  <si>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</si>
  <si>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</si>
  <si>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</si>
  <si>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</si>
  <si>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</si>
  <si>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</si>
  <si>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</si>
  <si>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robinson.png</t>
  </si>
  <si>
    <t>conroy.png</t>
  </si>
  <si>
    <t>mellett.png</t>
  </si>
  <si>
    <t>Josh.png</t>
  </si>
  <si>
    <t>macGarvey.png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</si>
</sst>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7" t="s">
        <v>0</v>
      </c>
      <c r="B1" s="17"/>
      <c r="C1" s="17"/>
      <c r="D1" s="17"/>
      <c r="E1" s="17"/>
      <c r="F1" s="17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7" t="s">
        <v>20</v>
      </c>
      <c r="B1" s="17"/>
      <c r="C1" s="17"/>
      <c r="D1" s="17"/>
      <c r="E1" s="17"/>
      <c r="F1" s="17"/>
      <c r="G1" s="17"/>
      <c r="H1" s="14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20" sqref="F20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17" t="s">
        <v>3</v>
      </c>
      <c r="B1" s="17"/>
      <c r="C1" s="17"/>
      <c r="D1" s="17"/>
      <c r="E1" s="17"/>
      <c r="F1" s="17"/>
      <c r="G1" s="17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270</v>
      </c>
      <c r="G14" s="7"/>
    </row>
    <row r="15" spans="1:7">
      <c r="A15" s="7" t="s">
        <v>153</v>
      </c>
      <c r="B15" s="7" t="s">
        <v>154</v>
      </c>
      <c r="C15" s="7">
        <v>18</v>
      </c>
      <c r="D15" s="7" t="s">
        <v>119</v>
      </c>
      <c r="E15" s="7" t="s">
        <v>36</v>
      </c>
      <c r="F15" s="7" t="s">
        <v>273</v>
      </c>
      <c r="G15" s="7"/>
    </row>
    <row r="16" spans="1:7">
      <c r="A16" s="7" t="s">
        <v>155</v>
      </c>
      <c r="B16" s="7" t="s">
        <v>156</v>
      </c>
      <c r="C16" s="7">
        <v>22</v>
      </c>
      <c r="D16" s="7" t="s">
        <v>119</v>
      </c>
      <c r="E16" s="7" t="s">
        <v>36</v>
      </c>
      <c r="F16" s="7" t="s">
        <v>274</v>
      </c>
      <c r="G16" s="7"/>
    </row>
    <row r="17" spans="1:7">
      <c r="A17" s="7" t="s">
        <v>157</v>
      </c>
      <c r="B17" s="7" t="s">
        <v>158</v>
      </c>
      <c r="C17" s="7">
        <v>24</v>
      </c>
      <c r="D17" s="7" t="s">
        <v>119</v>
      </c>
      <c r="E17" s="7" t="s">
        <v>36</v>
      </c>
      <c r="F17" s="7" t="s">
        <v>271</v>
      </c>
      <c r="G17" s="7"/>
    </row>
    <row r="18" spans="1:7">
      <c r="A18" s="7" t="s">
        <v>159</v>
      </c>
      <c r="B18" s="7" t="s">
        <v>160</v>
      </c>
      <c r="C18" s="7">
        <v>33</v>
      </c>
      <c r="D18" s="7" t="s">
        <v>119</v>
      </c>
      <c r="E18" s="7" t="s">
        <v>36</v>
      </c>
      <c r="F18" s="7"/>
      <c r="G18" s="7"/>
    </row>
    <row r="19" spans="1:7">
      <c r="A19" s="7" t="s">
        <v>161</v>
      </c>
      <c r="B19" s="7" t="s">
        <v>162</v>
      </c>
      <c r="C19" s="7">
        <v>37</v>
      </c>
      <c r="D19" s="7" t="s">
        <v>119</v>
      </c>
      <c r="E19" s="7" t="s">
        <v>36</v>
      </c>
      <c r="F19" s="7" t="s">
        <v>272</v>
      </c>
      <c r="G19" s="7"/>
    </row>
    <row r="20" spans="1:7">
      <c r="A20" s="7" t="s">
        <v>163</v>
      </c>
      <c r="B20" s="7" t="s">
        <v>164</v>
      </c>
      <c r="C20" s="7">
        <v>45</v>
      </c>
      <c r="D20" s="7" t="s">
        <v>119</v>
      </c>
      <c r="E20" s="7" t="s">
        <v>36</v>
      </c>
      <c r="F20" s="7"/>
      <c r="G20" s="7"/>
    </row>
    <row r="21" spans="1:7">
      <c r="A21" s="7" t="s">
        <v>165</v>
      </c>
      <c r="B21" s="7" t="s">
        <v>166</v>
      </c>
      <c r="C21" s="7">
        <v>64</v>
      </c>
      <c r="D21" s="7" t="s">
        <v>119</v>
      </c>
      <c r="E21" s="7" t="s">
        <v>36</v>
      </c>
      <c r="F21" s="7"/>
      <c r="G21" s="7"/>
    </row>
    <row r="22" spans="1:7">
      <c r="A22" s="7" t="s">
        <v>167</v>
      </c>
      <c r="B22" s="7" t="s">
        <v>168</v>
      </c>
      <c r="C22" s="7">
        <v>65</v>
      </c>
      <c r="D22" s="7" t="s">
        <v>119</v>
      </c>
      <c r="E22" s="7" t="s">
        <v>36</v>
      </c>
      <c r="F22" s="7"/>
      <c r="G22" s="7"/>
    </row>
    <row r="23" spans="1:7">
      <c r="A23" s="7" t="s">
        <v>169</v>
      </c>
      <c r="B23" s="7" t="s">
        <v>170</v>
      </c>
      <c r="C23" s="7">
        <v>68</v>
      </c>
      <c r="D23" s="7" t="s">
        <v>119</v>
      </c>
      <c r="E23" s="7" t="s">
        <v>36</v>
      </c>
      <c r="F23" s="7"/>
      <c r="G23" s="7"/>
    </row>
    <row r="24" spans="1:7">
      <c r="A24" s="7" t="s">
        <v>171</v>
      </c>
      <c r="B24" s="7" t="s">
        <v>172</v>
      </c>
      <c r="C24" s="7">
        <v>89</v>
      </c>
      <c r="D24" s="7" t="s">
        <v>119</v>
      </c>
      <c r="E24" s="7" t="s">
        <v>36</v>
      </c>
      <c r="F24" s="7"/>
      <c r="G24" s="7"/>
    </row>
    <row r="25" spans="1:7">
      <c r="A25" s="7" t="s">
        <v>173</v>
      </c>
      <c r="B25" s="7" t="s">
        <v>174</v>
      </c>
      <c r="C25" s="7">
        <v>16</v>
      </c>
      <c r="D25" s="7" t="s">
        <v>126</v>
      </c>
      <c r="E25" s="7" t="s">
        <v>36</v>
      </c>
      <c r="F25" s="7"/>
      <c r="G25" s="7"/>
    </row>
    <row r="26" spans="1:7">
      <c r="A26" s="7" t="s">
        <v>175</v>
      </c>
      <c r="B26" s="7" t="s">
        <v>176</v>
      </c>
      <c r="C26" s="7">
        <v>23</v>
      </c>
      <c r="D26" s="7" t="s">
        <v>126</v>
      </c>
      <c r="E26" s="7" t="s">
        <v>36</v>
      </c>
      <c r="F26" s="7"/>
      <c r="G26" s="7"/>
    </row>
    <row r="27" spans="1:7">
      <c r="A27" s="7" t="s">
        <v>177</v>
      </c>
      <c r="B27" s="7" t="s">
        <v>178</v>
      </c>
      <c r="C27" s="7">
        <v>33</v>
      </c>
      <c r="D27" s="7" t="s">
        <v>126</v>
      </c>
      <c r="E27" s="7" t="s">
        <v>36</v>
      </c>
      <c r="F27" s="7"/>
      <c r="G27" s="7"/>
    </row>
    <row r="28" spans="1:7">
      <c r="A28" s="7" t="s">
        <v>179</v>
      </c>
      <c r="B28" s="7" t="s">
        <v>180</v>
      </c>
      <c r="C28" s="7">
        <v>40</v>
      </c>
      <c r="D28" s="7" t="s">
        <v>126</v>
      </c>
      <c r="E28" s="7" t="s">
        <v>36</v>
      </c>
      <c r="F28" s="7"/>
      <c r="G28" s="7"/>
    </row>
    <row r="29" spans="1:7">
      <c r="A29" s="7" t="s">
        <v>181</v>
      </c>
      <c r="B29" s="7" t="s">
        <v>182</v>
      </c>
      <c r="C29" s="7">
        <v>77</v>
      </c>
      <c r="D29" s="7" t="s">
        <v>126</v>
      </c>
      <c r="E29" s="7" t="s">
        <v>36</v>
      </c>
      <c r="F29" s="7"/>
      <c r="G29" s="7"/>
    </row>
    <row r="30" spans="1:7">
      <c r="A30" s="7" t="s">
        <v>183</v>
      </c>
      <c r="B30" s="7" t="s">
        <v>184</v>
      </c>
      <c r="C30" s="7">
        <v>88</v>
      </c>
      <c r="D30" s="7" t="s">
        <v>126</v>
      </c>
      <c r="E30" s="7" t="s">
        <v>36</v>
      </c>
      <c r="F30" s="7"/>
      <c r="G30" s="7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I4" sqref="I4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7" t="s">
        <v>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/>
    <row r="3" spans="1:13" ht="30">
      <c r="A3" s="6" t="s">
        <v>185</v>
      </c>
      <c r="B3" s="6" t="s">
        <v>186</v>
      </c>
      <c r="C3" s="6" t="s">
        <v>187</v>
      </c>
      <c r="D3" s="6" t="s">
        <v>188</v>
      </c>
      <c r="E3" s="6" t="s">
        <v>189</v>
      </c>
      <c r="F3" s="6" t="s">
        <v>190</v>
      </c>
      <c r="G3" s="6" t="s">
        <v>191</v>
      </c>
      <c r="H3" s="6" t="s">
        <v>192</v>
      </c>
      <c r="I3" s="6" t="s">
        <v>193</v>
      </c>
      <c r="J3" s="6" t="s">
        <v>194</v>
      </c>
      <c r="K3" s="6" t="s">
        <v>195</v>
      </c>
      <c r="L3" s="6" t="s">
        <v>196</v>
      </c>
      <c r="M3" s="6" t="s">
        <v>116</v>
      </c>
    </row>
    <row r="4" spans="1:13">
      <c r="A4" s="7" t="s">
        <v>197</v>
      </c>
      <c r="B4" s="8">
        <v>46264</v>
      </c>
      <c r="C4" s="9">
        <v>0.71875</v>
      </c>
      <c r="D4" s="7" t="s">
        <v>37</v>
      </c>
      <c r="E4" s="7" t="s">
        <v>198</v>
      </c>
      <c r="F4" s="7" t="s">
        <v>199</v>
      </c>
      <c r="G4" s="7">
        <v>4</v>
      </c>
      <c r="H4" s="7">
        <v>3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200</v>
      </c>
      <c r="M4" s="7"/>
    </row>
    <row r="5" spans="1:13">
      <c r="A5" s="7" t="s">
        <v>201</v>
      </c>
      <c r="B5" s="8">
        <v>46270</v>
      </c>
      <c r="C5" s="9">
        <v>0.76041666666666663</v>
      </c>
      <c r="D5" s="7" t="s">
        <v>42</v>
      </c>
      <c r="E5" s="7" t="s">
        <v>198</v>
      </c>
      <c r="F5" s="7" t="s">
        <v>199</v>
      </c>
      <c r="G5" s="7"/>
      <c r="H5" s="7"/>
      <c r="I5" s="10" t="str">
        <f t="shared" si="0"/>
        <v/>
      </c>
      <c r="J5" s="7"/>
      <c r="K5" s="7" t="s">
        <v>46</v>
      </c>
      <c r="L5" s="7" t="s">
        <v>200</v>
      </c>
      <c r="M5" s="7"/>
    </row>
    <row r="6" spans="1:13">
      <c r="A6" s="7" t="s">
        <v>202</v>
      </c>
      <c r="B6" s="8">
        <v>46278</v>
      </c>
      <c r="C6" s="9">
        <v>0.77083333333333337</v>
      </c>
      <c r="D6" s="7" t="s">
        <v>47</v>
      </c>
      <c r="E6" s="7" t="s">
        <v>203</v>
      </c>
      <c r="F6" s="7" t="s">
        <v>204</v>
      </c>
      <c r="G6" s="7"/>
      <c r="H6" s="7"/>
      <c r="I6" s="10" t="str">
        <f t="shared" si="0"/>
        <v/>
      </c>
      <c r="J6" s="7"/>
      <c r="K6" s="7" t="s">
        <v>205</v>
      </c>
      <c r="L6" s="7" t="s">
        <v>200</v>
      </c>
      <c r="M6" s="7"/>
    </row>
    <row r="7" spans="1:13">
      <c r="A7" s="7" t="s">
        <v>206</v>
      </c>
      <c r="B7" s="8">
        <v>46284</v>
      </c>
      <c r="C7" s="9">
        <v>0.79166666666666663</v>
      </c>
      <c r="D7" s="7" t="s">
        <v>52</v>
      </c>
      <c r="E7" s="7" t="s">
        <v>198</v>
      </c>
      <c r="F7" s="7" t="s">
        <v>204</v>
      </c>
      <c r="G7" s="7"/>
      <c r="H7" s="7"/>
      <c r="I7" s="10"/>
      <c r="J7" s="7"/>
      <c r="K7" s="7" t="s">
        <v>56</v>
      </c>
      <c r="L7" s="7" t="s">
        <v>200</v>
      </c>
      <c r="M7" s="7"/>
    </row>
    <row r="8" spans="1:13">
      <c r="A8" s="7" t="s">
        <v>207</v>
      </c>
      <c r="B8" s="8">
        <v>46285</v>
      </c>
      <c r="C8" s="9">
        <v>0.77083333333333337</v>
      </c>
      <c r="D8" s="7" t="s">
        <v>58</v>
      </c>
      <c r="E8" s="7" t="s">
        <v>203</v>
      </c>
      <c r="F8" s="7" t="s">
        <v>208</v>
      </c>
      <c r="G8" s="7"/>
      <c r="H8" s="7"/>
      <c r="I8" s="10" t="str">
        <f t="shared" si="0"/>
        <v/>
      </c>
      <c r="J8" s="7"/>
      <c r="K8" s="7" t="s">
        <v>205</v>
      </c>
      <c r="L8" s="7" t="s">
        <v>200</v>
      </c>
      <c r="M8" s="7"/>
    </row>
    <row r="9" spans="1:13">
      <c r="A9" s="7" t="s">
        <v>209</v>
      </c>
      <c r="B9" s="8">
        <v>46291</v>
      </c>
      <c r="C9" s="9">
        <v>0.78125</v>
      </c>
      <c r="D9" s="7" t="s">
        <v>74</v>
      </c>
      <c r="E9" s="7" t="s">
        <v>198</v>
      </c>
      <c r="F9" s="7" t="s">
        <v>208</v>
      </c>
      <c r="G9" s="7"/>
      <c r="H9" s="7"/>
      <c r="I9" s="10" t="str">
        <f t="shared" si="0"/>
        <v/>
      </c>
      <c r="J9" s="7"/>
      <c r="K9" s="7" t="s">
        <v>78</v>
      </c>
      <c r="L9" s="7" t="s">
        <v>200</v>
      </c>
      <c r="M9" s="7"/>
    </row>
    <row r="10" spans="1:13">
      <c r="A10" s="7" t="s">
        <v>210</v>
      </c>
      <c r="B10" s="8">
        <v>46298</v>
      </c>
      <c r="C10" s="9">
        <v>0.77083333333333337</v>
      </c>
      <c r="D10" s="7" t="s">
        <v>101</v>
      </c>
      <c r="E10" s="7" t="s">
        <v>203</v>
      </c>
      <c r="F10" s="7" t="s">
        <v>204</v>
      </c>
      <c r="G10" s="7"/>
      <c r="H10" s="7"/>
      <c r="I10" s="10" t="str">
        <f t="shared" si="0"/>
        <v/>
      </c>
      <c r="J10" s="7"/>
      <c r="K10" s="7" t="s">
        <v>205</v>
      </c>
      <c r="L10" s="7" t="s">
        <v>200</v>
      </c>
      <c r="M10" s="7"/>
    </row>
    <row r="11" spans="1:13">
      <c r="A11" s="7" t="s">
        <v>211</v>
      </c>
      <c r="B11" s="8">
        <v>46306</v>
      </c>
      <c r="C11" s="9">
        <v>0.83333333333333304</v>
      </c>
      <c r="D11" s="7" t="s">
        <v>106</v>
      </c>
      <c r="E11" s="7" t="s">
        <v>203</v>
      </c>
      <c r="F11" s="7" t="s">
        <v>208</v>
      </c>
      <c r="G11" s="7"/>
      <c r="H11" s="7"/>
      <c r="I11" s="10" t="str">
        <f t="shared" si="0"/>
        <v/>
      </c>
      <c r="J11" s="7"/>
      <c r="K11" s="7" t="s">
        <v>205</v>
      </c>
      <c r="L11" s="7" t="s">
        <v>200</v>
      </c>
      <c r="M11" s="7"/>
    </row>
    <row r="12" spans="1:13">
      <c r="A12" s="7" t="s">
        <v>212</v>
      </c>
      <c r="B12" s="8">
        <v>46312</v>
      </c>
      <c r="C12" s="9">
        <v>0.72916666666666663</v>
      </c>
      <c r="D12" s="7" t="s">
        <v>101</v>
      </c>
      <c r="E12" s="7" t="s">
        <v>198</v>
      </c>
      <c r="F12" s="7" t="s">
        <v>204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200</v>
      </c>
      <c r="M12" s="7"/>
    </row>
    <row r="13" spans="1:13">
      <c r="A13" s="7" t="s">
        <v>213</v>
      </c>
      <c r="B13" s="8">
        <v>46320</v>
      </c>
      <c r="C13" s="9">
        <v>0.77083333333333304</v>
      </c>
      <c r="D13" s="7" t="s">
        <v>95</v>
      </c>
      <c r="E13" s="7" t="s">
        <v>203</v>
      </c>
      <c r="F13" s="7" t="s">
        <v>204</v>
      </c>
      <c r="G13" s="7"/>
      <c r="H13" s="7"/>
      <c r="I13" s="10" t="str">
        <f t="shared" si="0"/>
        <v/>
      </c>
      <c r="J13" s="7"/>
      <c r="K13" s="7" t="s">
        <v>205</v>
      </c>
      <c r="L13" s="7" t="s">
        <v>200</v>
      </c>
      <c r="M13" s="7"/>
    </row>
    <row r="14" spans="1:13">
      <c r="A14" s="7" t="s">
        <v>214</v>
      </c>
      <c r="B14" s="8">
        <v>46327</v>
      </c>
      <c r="C14" s="9">
        <v>0.75</v>
      </c>
      <c r="D14" s="7" t="s">
        <v>47</v>
      </c>
      <c r="E14" s="7" t="s">
        <v>198</v>
      </c>
      <c r="F14" s="7" t="s">
        <v>204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200</v>
      </c>
      <c r="M14" s="7"/>
    </row>
    <row r="15" spans="1:13">
      <c r="A15" s="7" t="s">
        <v>215</v>
      </c>
      <c r="B15" s="8">
        <v>46334</v>
      </c>
      <c r="C15" s="9">
        <v>0.75</v>
      </c>
      <c r="D15" s="7" t="s">
        <v>52</v>
      </c>
      <c r="E15" s="7" t="s">
        <v>203</v>
      </c>
      <c r="F15" s="7" t="s">
        <v>204</v>
      </c>
      <c r="G15" s="7"/>
      <c r="H15" s="7"/>
      <c r="I15" s="10" t="str">
        <f t="shared" si="0"/>
        <v/>
      </c>
      <c r="J15" s="7"/>
      <c r="K15" s="7" t="s">
        <v>205</v>
      </c>
      <c r="L15" s="7" t="s">
        <v>200</v>
      </c>
      <c r="M15" s="7"/>
    </row>
    <row r="16" spans="1:13">
      <c r="A16" s="7" t="s">
        <v>216</v>
      </c>
      <c r="B16" s="8">
        <v>46340</v>
      </c>
      <c r="C16" s="9">
        <v>0.79166666666666696</v>
      </c>
      <c r="D16" s="7" t="s">
        <v>74</v>
      </c>
      <c r="E16" s="7" t="s">
        <v>203</v>
      </c>
      <c r="F16" s="7" t="s">
        <v>208</v>
      </c>
      <c r="G16" s="7"/>
      <c r="H16" s="7"/>
      <c r="I16" s="10" t="str">
        <f t="shared" si="0"/>
        <v/>
      </c>
      <c r="J16" s="7"/>
      <c r="K16" s="7" t="s">
        <v>205</v>
      </c>
      <c r="L16" s="7" t="s">
        <v>200</v>
      </c>
      <c r="M16" s="7"/>
    </row>
    <row r="17" spans="1:13">
      <c r="A17" s="7" t="s">
        <v>217</v>
      </c>
      <c r="B17" s="8">
        <v>46341</v>
      </c>
      <c r="C17" s="9">
        <v>0.70833333333333337</v>
      </c>
      <c r="D17" s="7" t="s">
        <v>95</v>
      </c>
      <c r="E17" s="7" t="s">
        <v>198</v>
      </c>
      <c r="F17" s="7" t="s">
        <v>204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200</v>
      </c>
      <c r="M17" s="7"/>
    </row>
    <row r="18" spans="1:13">
      <c r="A18" s="7" t="s">
        <v>218</v>
      </c>
      <c r="B18" s="8">
        <v>46354</v>
      </c>
      <c r="C18" s="9">
        <v>0.79166666666666663</v>
      </c>
      <c r="D18" s="7" t="s">
        <v>85</v>
      </c>
      <c r="E18" s="7" t="s">
        <v>198</v>
      </c>
      <c r="F18" s="7" t="s">
        <v>204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200</v>
      </c>
      <c r="M18" s="7"/>
    </row>
    <row r="19" spans="1:13">
      <c r="A19" s="7" t="s">
        <v>219</v>
      </c>
      <c r="B19" s="8">
        <v>46355</v>
      </c>
      <c r="C19" s="9">
        <v>0.72916666666666663</v>
      </c>
      <c r="D19" s="7" t="s">
        <v>58</v>
      </c>
      <c r="E19" s="7" t="s">
        <v>198</v>
      </c>
      <c r="F19" s="7" t="s">
        <v>208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200</v>
      </c>
      <c r="M19" s="7"/>
    </row>
    <row r="20" spans="1:13">
      <c r="A20" s="7" t="s">
        <v>220</v>
      </c>
      <c r="B20" s="8">
        <v>46368</v>
      </c>
      <c r="C20" s="9">
        <v>0.8125</v>
      </c>
      <c r="D20" s="7" t="s">
        <v>63</v>
      </c>
      <c r="E20" s="7" t="s">
        <v>198</v>
      </c>
      <c r="F20" s="7" t="s">
        <v>208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200</v>
      </c>
      <c r="M20" s="7"/>
    </row>
    <row r="21" spans="1:13">
      <c r="A21" s="7" t="s">
        <v>221</v>
      </c>
      <c r="B21" s="8">
        <v>46369</v>
      </c>
      <c r="C21" s="9">
        <v>0.77083333333333337</v>
      </c>
      <c r="D21" s="7" t="s">
        <v>68</v>
      </c>
      <c r="E21" s="7" t="s">
        <v>203</v>
      </c>
      <c r="F21" s="7" t="s">
        <v>208</v>
      </c>
      <c r="G21" s="7"/>
      <c r="H21" s="7"/>
      <c r="I21" s="10" t="str">
        <f t="shared" si="0"/>
        <v/>
      </c>
      <c r="J21" s="7"/>
      <c r="K21" s="7" t="s">
        <v>205</v>
      </c>
      <c r="L21" s="7" t="s">
        <v>200</v>
      </c>
      <c r="M21" s="7"/>
    </row>
    <row r="22" spans="1:13">
      <c r="A22" s="7" t="s">
        <v>222</v>
      </c>
      <c r="B22" s="8">
        <v>46376</v>
      </c>
      <c r="C22" s="9">
        <v>0.77083333333333337</v>
      </c>
      <c r="D22" s="7" t="s">
        <v>85</v>
      </c>
      <c r="E22" s="7" t="s">
        <v>203</v>
      </c>
      <c r="F22" s="7" t="s">
        <v>204</v>
      </c>
      <c r="G22" s="7"/>
      <c r="H22" s="7"/>
      <c r="I22" s="10" t="str">
        <f t="shared" si="0"/>
        <v/>
      </c>
      <c r="J22" s="7"/>
      <c r="K22" s="7" t="s">
        <v>205</v>
      </c>
      <c r="L22" s="7" t="s">
        <v>200</v>
      </c>
      <c r="M22" s="7"/>
    </row>
    <row r="23" spans="1:13">
      <c r="A23" s="7" t="s">
        <v>223</v>
      </c>
      <c r="B23" s="8">
        <v>46397</v>
      </c>
      <c r="C23" s="9">
        <v>0.77083333333333337</v>
      </c>
      <c r="D23" s="7" t="s">
        <v>80</v>
      </c>
      <c r="E23" s="7" t="s">
        <v>203</v>
      </c>
      <c r="F23" s="7" t="s">
        <v>208</v>
      </c>
      <c r="G23" s="7"/>
      <c r="H23" s="7"/>
      <c r="I23" s="10" t="str">
        <f t="shared" si="0"/>
        <v/>
      </c>
      <c r="J23" s="7"/>
      <c r="K23" s="7" t="s">
        <v>205</v>
      </c>
      <c r="L23" s="7" t="s">
        <v>200</v>
      </c>
      <c r="M23" s="7"/>
    </row>
    <row r="24" spans="1:13">
      <c r="A24" s="7" t="s">
        <v>224</v>
      </c>
      <c r="B24" s="8">
        <v>46417</v>
      </c>
      <c r="C24" s="9">
        <v>0.79166666666666663</v>
      </c>
      <c r="D24" s="7" t="s">
        <v>90</v>
      </c>
      <c r="E24" s="7" t="s">
        <v>203</v>
      </c>
      <c r="F24" s="7" t="s">
        <v>208</v>
      </c>
      <c r="G24" s="7"/>
      <c r="H24" s="7"/>
      <c r="I24" s="10" t="str">
        <f t="shared" si="0"/>
        <v/>
      </c>
      <c r="J24" s="7"/>
      <c r="K24" s="7" t="s">
        <v>205</v>
      </c>
      <c r="L24" s="7" t="s">
        <v>200</v>
      </c>
      <c r="M24" s="7"/>
    </row>
    <row r="25" spans="1:13">
      <c r="A25" s="7" t="s">
        <v>225</v>
      </c>
      <c r="B25" s="8">
        <v>46425</v>
      </c>
      <c r="C25" s="9">
        <v>0.77083333333333337</v>
      </c>
      <c r="D25" s="7" t="s">
        <v>63</v>
      </c>
      <c r="E25" s="7" t="s">
        <v>203</v>
      </c>
      <c r="F25" s="7" t="s">
        <v>208</v>
      </c>
      <c r="G25" s="7"/>
      <c r="H25" s="7"/>
      <c r="I25" s="10" t="str">
        <f t="shared" si="0"/>
        <v/>
      </c>
      <c r="J25" s="7"/>
      <c r="K25" s="7" t="s">
        <v>205</v>
      </c>
      <c r="L25" s="7" t="s">
        <v>200</v>
      </c>
      <c r="M25" s="7"/>
    </row>
    <row r="26" spans="1:13">
      <c r="A26" s="7" t="s">
        <v>226</v>
      </c>
      <c r="B26" s="8">
        <v>46446</v>
      </c>
      <c r="C26" s="9">
        <v>0.76041666666666663</v>
      </c>
      <c r="D26" s="7" t="s">
        <v>80</v>
      </c>
      <c r="E26" s="7" t="s">
        <v>198</v>
      </c>
      <c r="F26" s="7" t="s">
        <v>208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200</v>
      </c>
      <c r="M26" s="7"/>
    </row>
    <row r="27" spans="1:13">
      <c r="A27" s="7" t="s">
        <v>227</v>
      </c>
      <c r="B27" s="8">
        <v>46452</v>
      </c>
      <c r="C27" s="9">
        <v>0.72916666666666663</v>
      </c>
      <c r="D27" s="7" t="s">
        <v>68</v>
      </c>
      <c r="E27" s="7" t="s">
        <v>198</v>
      </c>
      <c r="F27" s="7" t="s">
        <v>208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200</v>
      </c>
      <c r="M27" s="7"/>
    </row>
    <row r="28" spans="1:13">
      <c r="A28" s="7" t="s">
        <v>228</v>
      </c>
      <c r="B28" s="8">
        <v>46459</v>
      </c>
      <c r="C28" s="9">
        <v>0.78125</v>
      </c>
      <c r="D28" s="7" t="s">
        <v>106</v>
      </c>
      <c r="E28" s="7" t="s">
        <v>198</v>
      </c>
      <c r="F28" s="7" t="s">
        <v>208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200</v>
      </c>
      <c r="M28" s="7"/>
    </row>
    <row r="29" spans="1:13">
      <c r="A29" s="7" t="s">
        <v>229</v>
      </c>
      <c r="B29" s="8">
        <v>46467</v>
      </c>
      <c r="C29" s="9">
        <v>0.73958333333333337</v>
      </c>
      <c r="D29" s="7" t="s">
        <v>90</v>
      </c>
      <c r="E29" s="7" t="s">
        <v>198</v>
      </c>
      <c r="F29" s="7" t="s">
        <v>208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200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H4" sqref="H4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17" t="s">
        <v>230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30">
      <c r="A3" s="6" t="s">
        <v>185</v>
      </c>
      <c r="B3" s="6" t="s">
        <v>111</v>
      </c>
      <c r="C3" s="6" t="s">
        <v>231</v>
      </c>
      <c r="D3" s="6" t="s">
        <v>232</v>
      </c>
      <c r="E3" s="6" t="s">
        <v>233</v>
      </c>
      <c r="F3" s="6" t="s">
        <v>234</v>
      </c>
      <c r="G3" s="6" t="s">
        <v>235</v>
      </c>
      <c r="H3" s="6" t="s">
        <v>236</v>
      </c>
      <c r="I3" s="6" t="s">
        <v>237</v>
      </c>
      <c r="J3" s="6" t="s">
        <v>116</v>
      </c>
    </row>
    <row r="4" spans="1:10">
      <c r="A4" s="7"/>
      <c r="B4" s="7"/>
      <c r="C4" s="10"/>
      <c r="D4" s="7"/>
      <c r="E4" s="7"/>
      <c r="F4" s="7"/>
      <c r="G4" s="10"/>
      <c r="H4" s="7"/>
      <c r="I4" s="7"/>
      <c r="J4" s="7"/>
    </row>
    <row r="5" spans="1:10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ref="G5:G67" si="0">IF(AND(E5="",F5=""),"",SUM(E5:F5))</f>
        <v/>
      </c>
      <c r="H5" s="7"/>
      <c r="I5" s="7"/>
      <c r="J5" s="7"/>
    </row>
    <row r="6" spans="1:10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7"/>
      <c r="I6" s="7"/>
      <c r="J6" s="7"/>
    </row>
    <row r="7" spans="1:10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7"/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F4" sqref="F4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17" t="s">
        <v>238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3" spans="1:11" ht="30">
      <c r="A3" s="6" t="s">
        <v>185</v>
      </c>
      <c r="B3" s="6" t="s">
        <v>111</v>
      </c>
      <c r="C3" s="6" t="s">
        <v>131</v>
      </c>
      <c r="D3" s="6" t="s">
        <v>239</v>
      </c>
      <c r="E3" s="6" t="s">
        <v>240</v>
      </c>
      <c r="F3" s="6" t="s">
        <v>241</v>
      </c>
      <c r="G3" s="6" t="s">
        <v>242</v>
      </c>
      <c r="H3" s="6" t="s">
        <v>243</v>
      </c>
      <c r="I3" s="6" t="s">
        <v>244</v>
      </c>
      <c r="J3" s="6" t="s">
        <v>245</v>
      </c>
      <c r="K3" s="6" t="s">
        <v>116</v>
      </c>
    </row>
    <row r="4" spans="1:11">
      <c r="A4" s="7"/>
      <c r="B4" s="7"/>
      <c r="C4" s="10"/>
      <c r="D4" s="7"/>
      <c r="E4" s="7"/>
      <c r="F4" s="7"/>
      <c r="G4" s="10" t="str">
        <f t="shared" ref="G4:G35" si="0">IF(E4="","",E4-F4)</f>
        <v/>
      </c>
      <c r="H4" s="11" t="str">
        <f t="shared" ref="H4:H35" si="1">IF(OR(E4="",E4=0),"",G4/E4)</f>
        <v/>
      </c>
      <c r="I4" s="7"/>
      <c r="J4" s="7"/>
      <c r="K4" s="7"/>
    </row>
    <row r="5" spans="1:11">
      <c r="A5" s="7"/>
      <c r="B5" s="7"/>
      <c r="C5" s="10" t="str">
        <f>IF(B5="","",IFERROR(VLOOKUP(B5,Players!$A$4:$B$200,2,FALSE),""))</f>
        <v/>
      </c>
      <c r="D5" s="7"/>
      <c r="E5" s="7"/>
      <c r="F5" s="7"/>
      <c r="G5" s="10" t="str">
        <f t="shared" si="0"/>
        <v/>
      </c>
      <c r="H5" s="11" t="str">
        <f t="shared" si="1"/>
        <v/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F14" sqref="F14"/>
    </sheetView>
  </sheetViews>
  <sheetFormatPr defaultRowHeight="14.25"/>
  <cols>
    <col min="1" max="1" width="20.375" customWidth="1"/>
  </cols>
  <sheetData>
    <row r="1" spans="1:10" ht="20.25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107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86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75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59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69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t="s">
        <v>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t="s">
        <v>102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t="s">
        <v>81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>
      <c r="A14" t="s">
        <v>64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t="s">
        <v>96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17" t="s">
        <v>257</v>
      </c>
      <c r="B1" s="17"/>
      <c r="C1" s="17"/>
      <c r="D1" s="17"/>
      <c r="E1" s="17"/>
      <c r="F1" s="17"/>
      <c r="G1" s="17"/>
      <c r="H1" s="17"/>
      <c r="I1" s="17"/>
      <c r="J1" s="17"/>
    </row>
    <row r="3" spans="1:10" ht="15">
      <c r="A3" s="6" t="s">
        <v>247</v>
      </c>
      <c r="B3" s="6" t="s">
        <v>248</v>
      </c>
      <c r="C3" s="6" t="s">
        <v>249</v>
      </c>
      <c r="D3" s="6" t="s">
        <v>250</v>
      </c>
      <c r="E3" s="6" t="s">
        <v>251</v>
      </c>
      <c r="F3" s="6" t="s">
        <v>252</v>
      </c>
      <c r="G3" s="6" t="s">
        <v>253</v>
      </c>
      <c r="H3" s="6" t="s">
        <v>254</v>
      </c>
      <c r="I3" s="6" t="s">
        <v>255</v>
      </c>
      <c r="J3" s="6" t="s">
        <v>256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31" sqref="B31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7" t="s">
        <v>258</v>
      </c>
      <c r="B1" s="17"/>
      <c r="C1" s="17"/>
      <c r="D1" s="17"/>
      <c r="E1" s="17"/>
      <c r="F1" s="17"/>
      <c r="G1" s="17"/>
      <c r="H1" s="17"/>
      <c r="I1" s="17"/>
      <c r="J1" s="17"/>
    </row>
    <row r="2" spans="1:13" ht="15">
      <c r="L2" s="6" t="s">
        <v>259</v>
      </c>
      <c r="M2" s="6" t="s">
        <v>260</v>
      </c>
    </row>
    <row r="3" spans="1:13" ht="30">
      <c r="A3" s="1" t="s">
        <v>111</v>
      </c>
      <c r="B3" s="1" t="s">
        <v>261</v>
      </c>
      <c r="C3" s="1" t="s">
        <v>262</v>
      </c>
      <c r="D3" s="1" t="s">
        <v>263</v>
      </c>
      <c r="E3" s="1" t="s">
        <v>248</v>
      </c>
      <c r="F3" s="1" t="s">
        <v>264</v>
      </c>
      <c r="G3" s="1" t="s">
        <v>198</v>
      </c>
      <c r="H3" s="1" t="s">
        <v>256</v>
      </c>
      <c r="I3" s="1" t="s">
        <v>236</v>
      </c>
      <c r="J3" s="1" t="s">
        <v>237</v>
      </c>
      <c r="K3" s="13"/>
      <c r="L3" s="12" t="s">
        <v>265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266</v>
      </c>
      <c r="M4" s="12">
        <f>SUM(Games!$G$4:$G$200)</f>
        <v>4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0</v>
      </c>
      <c r="F5" s="12">
        <f>IF(A5="","",SUMIFS('Player Game Stats'!$E$4:$E$500,'Player Game Stats'!$B$4:$B$500,A5))</f>
        <v>0</v>
      </c>
      <c r="G5" s="12">
        <f>IF(A5="","",SUMIFS('Player Game Stats'!$F$4:$F$500,'Player Game Stats'!$B$4:$B$500,A5))</f>
        <v>0</v>
      </c>
      <c r="H5" s="12">
        <f t="shared" si="0"/>
        <v>0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267</v>
      </c>
      <c r="M5" s="12">
        <f>SUM(Games!$H$4:$H$200)</f>
        <v>3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0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0</v>
      </c>
      <c r="H6" s="12">
        <f t="shared" si="0"/>
        <v>0</v>
      </c>
      <c r="I6" s="12">
        <f>IF(A6="","",SUMIFS('Player Game Stats'!$H$4:$H$500,'Player Game Stats'!$B$4:$B$500,A6))</f>
        <v>0</v>
      </c>
      <c r="J6" s="12">
        <f>IF(A6="","",SUMIFS('Player Game Stats'!$I$4:$I$500,'Player Game Stats'!$B$4:$B$500,A6))</f>
        <v>0</v>
      </c>
      <c r="K6" s="13"/>
      <c r="L6" s="12" t="s">
        <v>268</v>
      </c>
      <c r="M6" s="12">
        <f>COUNTIF(Games!$I$4:$I$200,"W")</f>
        <v>1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269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0</v>
      </c>
      <c r="F8" s="12">
        <f>IF(A8="","",SUMIFS('Player Game Stats'!$E$4:$E$500,'Player Game Stats'!$B$4:$B$500,A8))</f>
        <v>0</v>
      </c>
      <c r="G8" s="12">
        <f>IF(A8="","",SUMIFS('Player Game Stats'!$F$4:$F$500,'Player Game Stats'!$B$4:$B$500,A8))</f>
        <v>0</v>
      </c>
      <c r="H8" s="12">
        <f t="shared" si="0"/>
        <v>0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6" t="str">
        <f>IF(Players!A9="","",Players!A9)</f>
        <v>P006</v>
      </c>
      <c r="B9" s="16" t="str">
        <f>IF(A9="","",IFERROR(VLOOKUP(A9,Players!$A$4:$D$200,2,FALSE),""))</f>
        <v>Lewis Smith</v>
      </c>
      <c r="C9" s="16">
        <f>IF(A9="","",IFERROR(VLOOKUP(A9,Players!$A$4:$D$200,3,FALSE),""))</f>
        <v>13</v>
      </c>
      <c r="D9" s="16" t="str">
        <f>IF(A9="","",IFERROR(VLOOKUP(A9,Players!$A$4:$D$200,4,FALSE),""))</f>
        <v>Forward</v>
      </c>
      <c r="E9" s="16">
        <f>IF(A9="","",COUNTIFS('Player Game Stats'!$B$4:$B$500,A9,'Player Game Stats'!$D$4:$D$500,"Yes"))</f>
        <v>0</v>
      </c>
      <c r="F9" s="16">
        <f>IF(A9="","",SUMIFS('Player Game Stats'!$E$4:$E$500,'Player Game Stats'!$B$4:$B$500,A9))</f>
        <v>0</v>
      </c>
      <c r="G9" s="16">
        <f>IF(A9="","",SUMIFS('Player Game Stats'!$F$4:$F$500,'Player Game Stats'!$B$4:$B$500,A9))</f>
        <v>0</v>
      </c>
      <c r="H9" s="16">
        <f t="shared" si="0"/>
        <v>0</v>
      </c>
      <c r="I9" s="16">
        <f>IF(A9="","",SUMIFS('Player Game Stats'!$H$4:$H$500,'Player Game Stats'!$B$4:$B$500,A9))</f>
        <v>0</v>
      </c>
      <c r="J9" s="16">
        <f>IF(A9="","",SUMIFS('Player Game Stats'!$I$4:$I$500,'Player Game Stats'!$B$4:$B$500,A9))</f>
        <v>0</v>
      </c>
      <c r="K9" s="13"/>
      <c r="L9" s="13"/>
    </row>
    <row r="10" spans="1:13">
      <c r="A10" s="15" t="str">
        <f>IF(Players!A10="","",Players!A10)</f>
        <v>P007</v>
      </c>
      <c r="B10" s="15" t="str">
        <f>IF(A10="","",IFERROR(VLOOKUP(A10,Players!$A$4:$D$200,2,FALSE),""))</f>
        <v>Robert Oxley</v>
      </c>
      <c r="C10" s="15">
        <f>IF(A10="","",IFERROR(VLOOKUP(A10,Players!$A$4:$D$200,3,FALSE),""))</f>
        <v>5</v>
      </c>
      <c r="D10" s="15" t="str">
        <f>IF(A10="","",IFERROR(VLOOKUP(A10,Players!$A$4:$D$200,4,FALSE),""))</f>
        <v>Defence</v>
      </c>
      <c r="E10" s="15">
        <f>IF(A10="","",COUNTIFS('Player Game Stats'!$B$4:$B$500,A10,'Player Game Stats'!$D$4:$D$500,"Yes"))</f>
        <v>0</v>
      </c>
      <c r="F10" s="15">
        <f>IF(A10="","",SUMIFS('Player Game Stats'!$E$4:$E$500,'Player Game Stats'!$B$4:$B$500,A10))</f>
        <v>0</v>
      </c>
      <c r="G10" s="15">
        <f>IF(A10="","",SUMIFS('Player Game Stats'!$F$4:$F$500,'Player Game Stats'!$B$4:$B$500,A10))</f>
        <v>0</v>
      </c>
      <c r="H10" s="15">
        <f t="shared" si="0"/>
        <v>0</v>
      </c>
      <c r="I10" s="15">
        <f>IF(A10="","",SUMIFS('Player Game Stats'!$H$4:$H$500,'Player Game Stats'!$B$4:$B$500,A10))</f>
        <v>0</v>
      </c>
      <c r="J10" s="15">
        <f>IF(A10="","",SUMIFS('Player Game Stats'!$I$4:$I$500,'Player Game Stats'!$B$4:$B$500,A10))</f>
        <v>0</v>
      </c>
      <c r="K10" s="13"/>
    </row>
    <row r="11" spans="1:13">
      <c r="A11" s="15" t="str">
        <f>IF(Players!A11="","",Players!A11)</f>
        <v>P008</v>
      </c>
      <c r="B11" s="15" t="str">
        <f>IF(A11="","",IFERROR(VLOOKUP(A11,Players!$A$4:$D$200,2,FALSE),""))</f>
        <v>Madi Wright</v>
      </c>
      <c r="C11" s="15">
        <f>IF(A11="","",IFERROR(VLOOKUP(A11,Players!$A$4:$D$200,3,FALSE),""))</f>
        <v>10</v>
      </c>
      <c r="D11" s="15" t="str">
        <f>IF(A11="","",IFERROR(VLOOKUP(A11,Players!$A$4:$D$200,4,FALSE),""))</f>
        <v>Defence</v>
      </c>
      <c r="E11" s="15">
        <f>IF(A11="","",COUNTIFS('Player Game Stats'!$B$4:$B$500,A11,'Player Game Stats'!$D$4:$D$500,"Yes"))</f>
        <v>0</v>
      </c>
      <c r="F11" s="15">
        <f>IF(A11="","",SUMIFS('Player Game Stats'!$E$4:$E$500,'Player Game Stats'!$B$4:$B$500,A11))</f>
        <v>0</v>
      </c>
      <c r="G11" s="15">
        <f>IF(A11="","",SUMIFS('Player Game Stats'!$F$4:$F$500,'Player Game Stats'!$B$4:$B$500,A11))</f>
        <v>0</v>
      </c>
      <c r="H11" s="15">
        <f t="shared" si="0"/>
        <v>0</v>
      </c>
      <c r="I11" s="15">
        <f>IF(A11="","",SUMIFS('Player Game Stats'!$H$4:$H$500,'Player Game Stats'!$B$4:$B$500,A11))</f>
        <v>0</v>
      </c>
      <c r="J11" s="15">
        <f>IF(A11="","",SUMIFS('Player Game Stats'!$I$4:$I$500,'Player Game Stats'!$B$4:$B$500,A11))</f>
        <v>0</v>
      </c>
      <c r="K11" s="13"/>
    </row>
    <row r="12" spans="1:13">
      <c r="A12" s="15" t="str">
        <f>IF(Players!A12="","",Players!A12)</f>
        <v>P009</v>
      </c>
      <c r="B12" s="15" t="str">
        <f>IF(A12="","",IFERROR(VLOOKUP(A12,Players!$A$4:$D$200,2,FALSE),""))</f>
        <v>Lizzie Nowik</v>
      </c>
      <c r="C12" s="15">
        <f>IF(A12="","",IFERROR(VLOOKUP(A12,Players!$A$4:$D$200,3,FALSE),""))</f>
        <v>2</v>
      </c>
      <c r="D12" s="15" t="str">
        <f>IF(A12="","",IFERROR(VLOOKUP(A12,Players!$A$4:$D$200,4,FALSE),""))</f>
        <v>Netminder</v>
      </c>
      <c r="E12" s="15">
        <f>IF(A12="","",COUNTIFS('Player Game Stats'!$B$4:$B$500,A12,'Player Game Stats'!$D$4:$D$500,"Yes"))</f>
        <v>0</v>
      </c>
      <c r="F12" s="15">
        <f>IF(A12="","",SUMIFS('Player Game Stats'!$E$4:$E$500,'Player Game Stats'!$B$4:$B$500,A12))</f>
        <v>0</v>
      </c>
      <c r="G12" s="15">
        <f>IF(A12="","",SUMIFS('Player Game Stats'!$F$4:$F$500,'Player Game Stats'!$B$4:$B$500,A12))</f>
        <v>0</v>
      </c>
      <c r="H12" s="15">
        <f t="shared" si="0"/>
        <v>0</v>
      </c>
      <c r="I12" s="15">
        <f>IF(A12="","",SUMIFS('Player Game Stats'!$H$4:$H$500,'Player Game Stats'!$B$4:$B$500,A12))</f>
        <v>0</v>
      </c>
      <c r="J12" s="15">
        <f>IF(A12="","",SUMIFS('Player Game Stats'!$I$4:$I$500,'Player Game Stats'!$B$4:$B$500,A12))</f>
        <v>0</v>
      </c>
      <c r="K12" s="13"/>
    </row>
    <row r="13" spans="1:13">
      <c r="A13" s="15" t="str">
        <f>IF(Players!A13="","",Players!A13)</f>
        <v>P010</v>
      </c>
      <c r="B13" s="15" t="str">
        <f>IF(A13="","",IFERROR(VLOOKUP(A13,Players!$A$4:$D$200,2,FALSE),""))</f>
        <v>Nicole Jackson</v>
      </c>
      <c r="C13" s="15">
        <f>IF(A13="","",IFERROR(VLOOKUP(A13,Players!$A$4:$D$200,3,FALSE),""))</f>
        <v>86</v>
      </c>
      <c r="D13" s="15" t="str">
        <f>IF(A13="","",IFERROR(VLOOKUP(A13,Players!$A$4:$D$200,4,FALSE),""))</f>
        <v>Netminder</v>
      </c>
      <c r="E13" s="15">
        <f>IF(A13="","",COUNTIFS('Player Game Stats'!$B$4:$B$500,A13,'Player Game Stats'!$D$4:$D$500,"Yes"))</f>
        <v>0</v>
      </c>
      <c r="F13" s="15">
        <f>IF(A13="","",SUMIFS('Player Game Stats'!$E$4:$E$500,'Player Game Stats'!$B$4:$B$500,A13))</f>
        <v>0</v>
      </c>
      <c r="G13" s="15">
        <f>IF(A13="","",SUMIFS('Player Game Stats'!$F$4:$F$500,'Player Game Stats'!$B$4:$B$500,A13))</f>
        <v>0</v>
      </c>
      <c r="H13" s="15">
        <f t="shared" si="0"/>
        <v>0</v>
      </c>
      <c r="I13" s="15">
        <f>IF(A13="","",SUMIFS('Player Game Stats'!$H$4:$H$500,'Player Game Stats'!$B$4:$B$500,A13))</f>
        <v>0</v>
      </c>
      <c r="J13" s="15">
        <f>IF(A13="","",SUMIFS('Player Game Stats'!$I$4:$I$500,'Player Game Stats'!$B$4:$B$500,A13))</f>
        <v>0</v>
      </c>
      <c r="K13" s="13"/>
    </row>
    <row r="14" spans="1:13">
      <c r="A14" s="15" t="str">
        <f>IF(Players!A14="","",Players!A14)</f>
        <v>P011</v>
      </c>
      <c r="B14" s="15" t="str">
        <f>IF(A14="","",IFERROR(VLOOKUP(A14,Players!$A$4:$D$200,2,FALSE),""))</f>
        <v>Xander Robinson</v>
      </c>
      <c r="C14" s="15">
        <f>IF(A14="","",IFERROR(VLOOKUP(A14,Players!$A$4:$D$200,3,FALSE),""))</f>
        <v>14</v>
      </c>
      <c r="D14" s="15" t="str">
        <f>IF(A14="","",IFERROR(VLOOKUP(A14,Players!$A$4:$D$200,4,FALSE),""))</f>
        <v>Forward</v>
      </c>
      <c r="E14" s="15">
        <f>IF(A14="","",COUNTIFS('Player Game Stats'!$B$4:$B$500,A14,'Player Game Stats'!$D$4:$D$500,"Yes"))</f>
        <v>0</v>
      </c>
      <c r="F14" s="15">
        <f>IF(A14="","",SUMIFS('Player Game Stats'!$E$4:$E$500,'Player Game Stats'!$B$4:$B$500,A14))</f>
        <v>0</v>
      </c>
      <c r="G14" s="15">
        <f>IF(A14="","",SUMIFS('Player Game Stats'!$F$4:$F$500,'Player Game Stats'!$B$4:$B$500,A14))</f>
        <v>0</v>
      </c>
      <c r="H14" s="15">
        <f t="shared" si="0"/>
        <v>0</v>
      </c>
      <c r="I14" s="15">
        <f>IF(A14="","",SUMIFS('Player Game Stats'!$H$4:$H$500,'Player Game Stats'!$B$4:$B$500,A14))</f>
        <v>0</v>
      </c>
      <c r="J14" s="15">
        <f>IF(A14="","",SUMIFS('Player Game Stats'!$I$4:$I$500,'Player Game Stats'!$B$4:$B$500,A14))</f>
        <v>0</v>
      </c>
      <c r="K14" s="13"/>
    </row>
    <row r="15" spans="1:13">
      <c r="A15" s="15" t="str">
        <f>IF(Players!A15="","",Players!A15)</f>
        <v>P012</v>
      </c>
      <c r="B15" s="15" t="str">
        <f>IF(A15="","",IFERROR(VLOOKUP(A15,Players!$A$4:$D$200,2,FALSE),""))</f>
        <v>Joshua Blackwood</v>
      </c>
      <c r="C15" s="15">
        <f>IF(A15="","",IFERROR(VLOOKUP(A15,Players!$A$4:$D$200,3,FALSE),""))</f>
        <v>18</v>
      </c>
      <c r="D15" s="15" t="str">
        <f>IF(A15="","",IFERROR(VLOOKUP(A15,Players!$A$4:$D$200,4,FALSE),""))</f>
        <v>Forward</v>
      </c>
      <c r="E15" s="15">
        <f>IF(A15="","",COUNTIFS('Player Game Stats'!$B$4:$B$500,A15,'Player Game Stats'!$D$4:$D$500,"Yes"))</f>
        <v>0</v>
      </c>
      <c r="F15" s="15">
        <f>IF(A15="","",SUMIFS('Player Game Stats'!$E$4:$E$500,'Player Game Stats'!$B$4:$B$500,A15))</f>
        <v>0</v>
      </c>
      <c r="G15" s="15">
        <f>IF(A15="","",SUMIFS('Player Game Stats'!$F$4:$F$500,'Player Game Stats'!$B$4:$B$500,A15))</f>
        <v>0</v>
      </c>
      <c r="H15" s="15">
        <f t="shared" si="0"/>
        <v>0</v>
      </c>
      <c r="I15" s="15">
        <f>IF(A15="","",SUMIFS('Player Game Stats'!$H$4:$H$500,'Player Game Stats'!$B$4:$B$500,A15))</f>
        <v>0</v>
      </c>
      <c r="J15" s="15">
        <f>IF(A15="","",SUMIFS('Player Game Stats'!$I$4:$I$500,'Player Game Stats'!$B$4:$B$500,A15))</f>
        <v>0</v>
      </c>
      <c r="K15" s="13"/>
    </row>
    <row r="16" spans="1:13">
      <c r="A16" s="15" t="str">
        <f>IF(Players!A16="","",Players!A16)</f>
        <v>P013</v>
      </c>
      <c r="B16" s="15" t="str">
        <f>IF(A16="","",IFERROR(VLOOKUP(A16,Players!$A$4:$D$200,2,FALSE),""))</f>
        <v>Harry MacGarvery</v>
      </c>
      <c r="C16" s="15">
        <f>IF(A16="","",IFERROR(VLOOKUP(A16,Players!$A$4:$D$200,3,FALSE),""))</f>
        <v>22</v>
      </c>
      <c r="D16" s="15" t="str">
        <f>IF(A16="","",IFERROR(VLOOKUP(A16,Players!$A$4:$D$200,4,FALSE),""))</f>
        <v>Forward</v>
      </c>
      <c r="E16" s="15">
        <f>IF(A16="","",COUNTIFS('Player Game Stats'!$B$4:$B$500,A16,'Player Game Stats'!$D$4:$D$500,"Yes"))</f>
        <v>0</v>
      </c>
      <c r="F16" s="15">
        <f>IF(A16="","",SUMIFS('Player Game Stats'!$E$4:$E$500,'Player Game Stats'!$B$4:$B$500,A16))</f>
        <v>0</v>
      </c>
      <c r="G16" s="15">
        <f>IF(A16="","",SUMIFS('Player Game Stats'!$F$4:$F$500,'Player Game Stats'!$B$4:$B$500,A16))</f>
        <v>0</v>
      </c>
      <c r="H16" s="15">
        <f t="shared" si="0"/>
        <v>0</v>
      </c>
      <c r="I16" s="15">
        <f>IF(A16="","",SUMIFS('Player Game Stats'!$H$4:$H$500,'Player Game Stats'!$B$4:$B$500,A16))</f>
        <v>0</v>
      </c>
      <c r="J16" s="15">
        <f>IF(A16="","",SUMIFS('Player Game Stats'!$I$4:$I$500,'Player Game Stats'!$B$4:$B$500,A16))</f>
        <v>0</v>
      </c>
      <c r="K16" s="13"/>
    </row>
    <row r="17" spans="1:11">
      <c r="A17" s="15" t="str">
        <f>IF(Players!A17="","",Players!A17)</f>
        <v>P014</v>
      </c>
      <c r="B17" s="15" t="str">
        <f>IF(A17="","",IFERROR(VLOOKUP(A17,Players!$A$4:$D$200,2,FALSE),""))</f>
        <v>Chalie Conroy</v>
      </c>
      <c r="C17" s="15">
        <f>IF(A17="","",IFERROR(VLOOKUP(A17,Players!$A$4:$D$200,3,FALSE),""))</f>
        <v>24</v>
      </c>
      <c r="D17" s="15" t="str">
        <f>IF(A17="","",IFERROR(VLOOKUP(A17,Players!$A$4:$D$200,4,FALSE),""))</f>
        <v>Forward</v>
      </c>
      <c r="E17" s="15">
        <f>IF(A17="","",COUNTIFS('Player Game Stats'!$B$4:$B$500,A17,'Player Game Stats'!$D$4:$D$500,"Yes"))</f>
        <v>0</v>
      </c>
      <c r="F17" s="15">
        <f>IF(A17="","",SUMIFS('Player Game Stats'!$E$4:$E$500,'Player Game Stats'!$B$4:$B$500,A17))</f>
        <v>0</v>
      </c>
      <c r="G17" s="15">
        <f>IF(A17="","",SUMIFS('Player Game Stats'!$F$4:$F$500,'Player Game Stats'!$B$4:$B$500,A17))</f>
        <v>0</v>
      </c>
      <c r="H17" s="15">
        <f t="shared" si="0"/>
        <v>0</v>
      </c>
      <c r="I17" s="15">
        <f>IF(A17="","",SUMIFS('Player Game Stats'!$H$4:$H$500,'Player Game Stats'!$B$4:$B$500,A17))</f>
        <v>0</v>
      </c>
      <c r="J17" s="15">
        <f>IF(A17="","",SUMIFS('Player Game Stats'!$I$4:$I$500,'Player Game Stats'!$B$4:$B$500,A17))</f>
        <v>0</v>
      </c>
      <c r="K17" s="13"/>
    </row>
    <row r="18" spans="1:11">
      <c r="A18" s="15" t="str">
        <f>IF(Players!A18="","",Players!A18)</f>
        <v>P015</v>
      </c>
      <c r="B18" s="15" t="str">
        <f>IF(A18="","",IFERROR(VLOOKUP(A18,Players!$A$4:$D$200,2,FALSE),""))</f>
        <v>Oliver Broyd</v>
      </c>
      <c r="C18" s="15">
        <f>IF(A18="","",IFERROR(VLOOKUP(A18,Players!$A$4:$D$200,3,FALSE),""))</f>
        <v>33</v>
      </c>
      <c r="D18" s="15" t="str">
        <f>IF(A18="","",IFERROR(VLOOKUP(A18,Players!$A$4:$D$200,4,FALSE),""))</f>
        <v>Forward</v>
      </c>
      <c r="E18" s="15">
        <f>IF(A18="","",COUNTIFS('Player Game Stats'!$B$4:$B$500,A18,'Player Game Stats'!$D$4:$D$500,"Yes"))</f>
        <v>0</v>
      </c>
      <c r="F18" s="15">
        <f>IF(A18="","",SUMIFS('Player Game Stats'!$E$4:$E$500,'Player Game Stats'!$B$4:$B$500,A18))</f>
        <v>0</v>
      </c>
      <c r="G18" s="15">
        <f>IF(A18="","",SUMIFS('Player Game Stats'!$F$4:$F$500,'Player Game Stats'!$B$4:$B$500,A18))</f>
        <v>0</v>
      </c>
      <c r="H18" s="15">
        <f t="shared" si="0"/>
        <v>0</v>
      </c>
      <c r="I18" s="15">
        <f>IF(A18="","",SUMIFS('Player Game Stats'!$H$4:$H$500,'Player Game Stats'!$B$4:$B$500,A18))</f>
        <v>0</v>
      </c>
      <c r="J18" s="15">
        <f>IF(A18="","",SUMIFS('Player Game Stats'!$I$4:$I$500,'Player Game Stats'!$B$4:$B$500,A18))</f>
        <v>0</v>
      </c>
      <c r="K18" s="13"/>
    </row>
    <row r="19" spans="1:11">
      <c r="A19" s="15" t="str">
        <f>IF(Players!A19="","",Players!A19)</f>
        <v>P016</v>
      </c>
      <c r="B19" s="15" t="str">
        <f>IF(A19="","",IFERROR(VLOOKUP(A19,Players!$A$4:$D$200,2,FALSE),""))</f>
        <v>Connor Mellett</v>
      </c>
      <c r="C19" s="15">
        <f>IF(A19="","",IFERROR(VLOOKUP(A19,Players!$A$4:$D$200,3,FALSE),""))</f>
        <v>37</v>
      </c>
      <c r="D19" s="15" t="str">
        <f>IF(A19="","",IFERROR(VLOOKUP(A19,Players!$A$4:$D$200,4,FALSE),""))</f>
        <v>Forward</v>
      </c>
      <c r="E19" s="15">
        <f>IF(A19="","",COUNTIFS('Player Game Stats'!$B$4:$B$500,A19,'Player Game Stats'!$D$4:$D$500,"Yes"))</f>
        <v>0</v>
      </c>
      <c r="F19" s="15">
        <f>IF(A19="","",SUMIFS('Player Game Stats'!$E$4:$E$500,'Player Game Stats'!$B$4:$B$500,A19))</f>
        <v>0</v>
      </c>
      <c r="G19" s="15">
        <f>IF(A19="","",SUMIFS('Player Game Stats'!$F$4:$F$500,'Player Game Stats'!$B$4:$B$500,A19))</f>
        <v>0</v>
      </c>
      <c r="H19" s="15">
        <f t="shared" si="0"/>
        <v>0</v>
      </c>
      <c r="I19" s="15">
        <f>IF(A19="","",SUMIFS('Player Game Stats'!$H$4:$H$500,'Player Game Stats'!$B$4:$B$500,A19))</f>
        <v>0</v>
      </c>
      <c r="J19" s="15">
        <f>IF(A19="","",SUMIFS('Player Game Stats'!$I$4:$I$500,'Player Game Stats'!$B$4:$B$500,A19))</f>
        <v>0</v>
      </c>
      <c r="K19" s="13"/>
    </row>
    <row r="20" spans="1:11">
      <c r="A20" s="15" t="str">
        <f>IF(Players!A20="","",Players!A20)</f>
        <v>P017</v>
      </c>
      <c r="B20" s="15" t="str">
        <f>IF(A20="","",IFERROR(VLOOKUP(A20,Players!$A$4:$D$200,2,FALSE),""))</f>
        <v>Hayden Hagger</v>
      </c>
      <c r="C20" s="15">
        <f>IF(A20="","",IFERROR(VLOOKUP(A20,Players!$A$4:$D$200,3,FALSE),""))</f>
        <v>45</v>
      </c>
      <c r="D20" s="15" t="str">
        <f>IF(A20="","",IFERROR(VLOOKUP(A20,Players!$A$4:$D$200,4,FALSE),""))</f>
        <v>Forward</v>
      </c>
      <c r="E20" s="15">
        <f>IF(A20="","",COUNTIFS('Player Game Stats'!$B$4:$B$500,A20,'Player Game Stats'!$D$4:$D$500,"Yes"))</f>
        <v>0</v>
      </c>
      <c r="F20" s="15">
        <f>IF(A20="","",SUMIFS('Player Game Stats'!$E$4:$E$500,'Player Game Stats'!$B$4:$B$500,A20))</f>
        <v>0</v>
      </c>
      <c r="G20" s="15">
        <f>IF(A20="","",SUMIFS('Player Game Stats'!$F$4:$F$500,'Player Game Stats'!$B$4:$B$500,A20))</f>
        <v>0</v>
      </c>
      <c r="H20" s="15">
        <f t="shared" si="0"/>
        <v>0</v>
      </c>
      <c r="I20" s="15">
        <f>IF(A20="","",SUMIFS('Player Game Stats'!$H$4:$H$500,'Player Game Stats'!$B$4:$B$500,A20))</f>
        <v>0</v>
      </c>
      <c r="J20" s="15">
        <f>IF(A20="","",SUMIFS('Player Game Stats'!$I$4:$I$500,'Player Game Stats'!$B$4:$B$500,A20))</f>
        <v>0</v>
      </c>
      <c r="K20" s="13"/>
    </row>
    <row r="21" spans="1:11">
      <c r="A21" s="15" t="str">
        <f>IF(Players!A21="","",Players!A21)</f>
        <v>P018</v>
      </c>
      <c r="B21" s="15" t="str">
        <f>IF(A21="","",IFERROR(VLOOKUP(A21,Players!$A$4:$D$200,2,FALSE),""))</f>
        <v>Sam Purcell</v>
      </c>
      <c r="C21" s="15">
        <f>IF(A21="","",IFERROR(VLOOKUP(A21,Players!$A$4:$D$200,3,FALSE),""))</f>
        <v>64</v>
      </c>
      <c r="D21" s="15" t="str">
        <f>IF(A21="","",IFERROR(VLOOKUP(A21,Players!$A$4:$D$200,4,FALSE),""))</f>
        <v>Forward</v>
      </c>
      <c r="E21" s="15">
        <f>IF(A21="","",COUNTIFS('Player Game Stats'!$B$4:$B$500,A21,'Player Game Stats'!$D$4:$D$500,"Yes"))</f>
        <v>0</v>
      </c>
      <c r="F21" s="15">
        <f>IF(A21="","",SUMIFS('Player Game Stats'!$E$4:$E$500,'Player Game Stats'!$B$4:$B$500,A21))</f>
        <v>0</v>
      </c>
      <c r="G21" s="15">
        <f>IF(A21="","",SUMIFS('Player Game Stats'!$F$4:$F$500,'Player Game Stats'!$B$4:$B$500,A21))</f>
        <v>0</v>
      </c>
      <c r="H21" s="15">
        <f t="shared" si="0"/>
        <v>0</v>
      </c>
      <c r="I21" s="15">
        <f>IF(A21="","",SUMIFS('Player Game Stats'!$H$4:$H$500,'Player Game Stats'!$B$4:$B$500,A21))</f>
        <v>0</v>
      </c>
      <c r="J21" s="15">
        <f>IF(A21="","",SUMIFS('Player Game Stats'!$I$4:$I$500,'Player Game Stats'!$B$4:$B$500,A21))</f>
        <v>0</v>
      </c>
      <c r="K21" s="13"/>
    </row>
    <row r="22" spans="1:11">
      <c r="A22" s="15" t="str">
        <f>IF(Players!A22="","",Players!A22)</f>
        <v>P019</v>
      </c>
      <c r="B22" s="15" t="str">
        <f>IF(A22="","",IFERROR(VLOOKUP(A22,Players!$A$4:$D$200,2,FALSE),""))</f>
        <v>Samuel Rickard</v>
      </c>
      <c r="C22" s="15">
        <f>IF(A22="","",IFERROR(VLOOKUP(A22,Players!$A$4:$D$200,3,FALSE),""))</f>
        <v>65</v>
      </c>
      <c r="D22" s="15" t="str">
        <f>IF(A22="","",IFERROR(VLOOKUP(A22,Players!$A$4:$D$200,4,FALSE),""))</f>
        <v>Forward</v>
      </c>
      <c r="E22" s="15">
        <f>IF(A22="","",COUNTIFS('Player Game Stats'!$B$4:$B$500,A22,'Player Game Stats'!$D$4:$D$500,"Yes"))</f>
        <v>0</v>
      </c>
      <c r="F22" s="15">
        <f>IF(A22="","",SUMIFS('Player Game Stats'!$E$4:$E$500,'Player Game Stats'!$B$4:$B$500,A22))</f>
        <v>0</v>
      </c>
      <c r="G22" s="15">
        <f>IF(A22="","",SUMIFS('Player Game Stats'!$F$4:$F$500,'Player Game Stats'!$B$4:$B$500,A22))</f>
        <v>0</v>
      </c>
      <c r="H22" s="15">
        <f t="shared" si="0"/>
        <v>0</v>
      </c>
      <c r="I22" s="15">
        <f>IF(A22="","",SUMIFS('Player Game Stats'!$H$4:$H$500,'Player Game Stats'!$B$4:$B$500,A22))</f>
        <v>0</v>
      </c>
      <c r="J22" s="15">
        <f>IF(A22="","",SUMIFS('Player Game Stats'!$I$4:$I$500,'Player Game Stats'!$B$4:$B$500,A22))</f>
        <v>0</v>
      </c>
      <c r="K22" s="13"/>
    </row>
    <row r="23" spans="1:11">
      <c r="A23" s="15" t="str">
        <f>IF(Players!A23="","",Players!A23)</f>
        <v>P020</v>
      </c>
      <c r="B23" s="15" t="str">
        <f>IF(A23="","",IFERROR(VLOOKUP(A23,Players!$A$4:$D$200,2,FALSE),""))</f>
        <v>Oscar Lee</v>
      </c>
      <c r="C23" s="15">
        <f>IF(A23="","",IFERROR(VLOOKUP(A23,Players!$A$4:$D$200,3,FALSE),""))</f>
        <v>68</v>
      </c>
      <c r="D23" s="15" t="str">
        <f>IF(A23="","",IFERROR(VLOOKUP(A23,Players!$A$4:$D$200,4,FALSE),""))</f>
        <v>Forward</v>
      </c>
      <c r="E23" s="15">
        <f>IF(A23="","",COUNTIFS('Player Game Stats'!$B$4:$B$500,A23,'Player Game Stats'!$D$4:$D$500,"Yes"))</f>
        <v>0</v>
      </c>
      <c r="F23" s="15">
        <f>IF(A23="","",SUMIFS('Player Game Stats'!$E$4:$E$500,'Player Game Stats'!$B$4:$B$500,A23))</f>
        <v>0</v>
      </c>
      <c r="G23" s="15">
        <f>IF(A23="","",SUMIFS('Player Game Stats'!$F$4:$F$500,'Player Game Stats'!$B$4:$B$500,A23))</f>
        <v>0</v>
      </c>
      <c r="H23" s="15">
        <f t="shared" si="0"/>
        <v>0</v>
      </c>
      <c r="I23" s="15">
        <f>IF(A23="","",SUMIFS('Player Game Stats'!$H$4:$H$500,'Player Game Stats'!$B$4:$B$500,A23))</f>
        <v>0</v>
      </c>
      <c r="J23" s="15">
        <f>IF(A23="","",SUMIFS('Player Game Stats'!$I$4:$I$500,'Player Game Stats'!$B$4:$B$500,A23))</f>
        <v>0</v>
      </c>
      <c r="K23" s="13"/>
    </row>
    <row r="24" spans="1:11">
      <c r="A24" s="15" t="str">
        <f>IF(Players!A24="","",Players!A24)</f>
        <v>P021</v>
      </c>
      <c r="B24" s="15" t="str">
        <f>IF(A24="","",IFERROR(VLOOKUP(A24,Players!$A$4:$D$200,2,FALSE),""))</f>
        <v>Jacob Maidment</v>
      </c>
      <c r="C24" s="15">
        <f>IF(A24="","",IFERROR(VLOOKUP(A24,Players!$A$4:$D$200,3,FALSE),""))</f>
        <v>89</v>
      </c>
      <c r="D24" s="15" t="str">
        <f>IF(A24="","",IFERROR(VLOOKUP(A24,Players!$A$4:$D$200,4,FALSE),""))</f>
        <v>Forward</v>
      </c>
      <c r="E24" s="15">
        <f>IF(A24="","",COUNTIFS('Player Game Stats'!$B$4:$B$500,A24,'Player Game Stats'!$D$4:$D$500,"Yes"))</f>
        <v>0</v>
      </c>
      <c r="F24" s="15">
        <f>IF(A24="","",SUMIFS('Player Game Stats'!$E$4:$E$500,'Player Game Stats'!$B$4:$B$500,A24))</f>
        <v>0</v>
      </c>
      <c r="G24" s="15">
        <f>IF(A24="","",SUMIFS('Player Game Stats'!$F$4:$F$500,'Player Game Stats'!$B$4:$B$500,A24))</f>
        <v>0</v>
      </c>
      <c r="H24" s="15">
        <f t="shared" si="0"/>
        <v>0</v>
      </c>
      <c r="I24" s="15">
        <f>IF(A24="","",SUMIFS('Player Game Stats'!$H$4:$H$500,'Player Game Stats'!$B$4:$B$500,A24))</f>
        <v>0</v>
      </c>
      <c r="J24" s="15">
        <f>IF(A24="","",SUMIFS('Player Game Stats'!$I$4:$I$500,'Player Game Stats'!$B$4:$B$500,A24))</f>
        <v>0</v>
      </c>
      <c r="K24" s="13"/>
    </row>
    <row r="25" spans="1:11">
      <c r="A25" s="15" t="str">
        <f>IF(Players!A25="","",Players!A25)</f>
        <v>P022</v>
      </c>
      <c r="B25" s="15" t="str">
        <f>IF(A25="","",IFERROR(VLOOKUP(A25,Players!$A$4:$D$200,2,FALSE),""))</f>
        <v>Corey Taylor</v>
      </c>
      <c r="C25" s="15">
        <f>IF(A25="","",IFERROR(VLOOKUP(A25,Players!$A$4:$D$200,3,FALSE),""))</f>
        <v>16</v>
      </c>
      <c r="D25" s="15" t="str">
        <f>IF(A25="","",IFERROR(VLOOKUP(A25,Players!$A$4:$D$200,4,FALSE),""))</f>
        <v>Defence</v>
      </c>
      <c r="E25" s="15">
        <f>IF(A25="","",COUNTIFS('Player Game Stats'!$B$4:$B$500,A25,'Player Game Stats'!$D$4:$D$500,"Yes"))</f>
        <v>0</v>
      </c>
      <c r="F25" s="15">
        <f>IF(A25="","",SUMIFS('Player Game Stats'!$E$4:$E$500,'Player Game Stats'!$B$4:$B$500,A25))</f>
        <v>0</v>
      </c>
      <c r="G25" s="15">
        <f>IF(A25="","",SUMIFS('Player Game Stats'!$F$4:$F$500,'Player Game Stats'!$B$4:$B$500,A25))</f>
        <v>0</v>
      </c>
      <c r="H25" s="15">
        <f t="shared" si="0"/>
        <v>0</v>
      </c>
      <c r="I25" s="15">
        <f>IF(A25="","",SUMIFS('Player Game Stats'!$H$4:$H$500,'Player Game Stats'!$B$4:$B$500,A25))</f>
        <v>0</v>
      </c>
      <c r="J25" s="15">
        <f>IF(A25="","",SUMIFS('Player Game Stats'!$I$4:$I$500,'Player Game Stats'!$B$4:$B$500,A25))</f>
        <v>0</v>
      </c>
      <c r="K25" s="13"/>
    </row>
    <row r="26" spans="1:11">
      <c r="A26" s="15" t="str">
        <f>IF(Players!A26="","",Players!A26)</f>
        <v>P023</v>
      </c>
      <c r="B26" s="15" t="str">
        <f>IF(A26="","",IFERROR(VLOOKUP(A26,Players!$A$4:$D$200,2,FALSE),""))</f>
        <v>James Bryan</v>
      </c>
      <c r="C26" s="15">
        <f>IF(A26="","",IFERROR(VLOOKUP(A26,Players!$A$4:$D$200,3,FALSE),""))</f>
        <v>23</v>
      </c>
      <c r="D26" s="15" t="str">
        <f>IF(A26="","",IFERROR(VLOOKUP(A26,Players!$A$4:$D$200,4,FALSE),""))</f>
        <v>Defence</v>
      </c>
      <c r="E26" s="15">
        <f>IF(A26="","",COUNTIFS('Player Game Stats'!$B$4:$B$500,A26,'Player Game Stats'!$D$4:$D$500,"Yes"))</f>
        <v>0</v>
      </c>
      <c r="F26" s="15">
        <f>IF(A26="","",SUMIFS('Player Game Stats'!$E$4:$E$500,'Player Game Stats'!$B$4:$B$500,A26))</f>
        <v>0</v>
      </c>
      <c r="G26" s="15">
        <f>IF(A26="","",SUMIFS('Player Game Stats'!$F$4:$F$500,'Player Game Stats'!$B$4:$B$500,A26))</f>
        <v>0</v>
      </c>
      <c r="H26" s="15">
        <f t="shared" si="0"/>
        <v>0</v>
      </c>
      <c r="I26" s="15">
        <f>IF(A26="","",SUMIFS('Player Game Stats'!$H$4:$H$500,'Player Game Stats'!$B$4:$B$500,A26))</f>
        <v>0</v>
      </c>
      <c r="J26" s="15">
        <f>IF(A26="","",SUMIFS('Player Game Stats'!$I$4:$I$500,'Player Game Stats'!$B$4:$B$500,A26))</f>
        <v>0</v>
      </c>
      <c r="K26" s="13"/>
    </row>
    <row r="27" spans="1:11">
      <c r="A27" s="15" t="str">
        <f>IF(Players!A27="","",Players!A27)</f>
        <v>P024</v>
      </c>
      <c r="B27" s="15" t="str">
        <f>IF(A27="","",IFERROR(VLOOKUP(A27,Players!$A$4:$D$200,2,FALSE),""))</f>
        <v>Josh Furnell</v>
      </c>
      <c r="C27" s="15">
        <f>IF(A27="","",IFERROR(VLOOKUP(A27,Players!$A$4:$D$200,3,FALSE),""))</f>
        <v>33</v>
      </c>
      <c r="D27" s="15" t="str">
        <f>IF(A27="","",IFERROR(VLOOKUP(A27,Players!$A$4:$D$200,4,FALSE),""))</f>
        <v>Defence</v>
      </c>
      <c r="E27" s="15">
        <f>IF(A27="","",COUNTIFS('Player Game Stats'!$B$4:$B$500,A27,'Player Game Stats'!$D$4:$D$500,"Yes"))</f>
        <v>0</v>
      </c>
      <c r="F27" s="15">
        <f>IF(A27="","",SUMIFS('Player Game Stats'!$E$4:$E$500,'Player Game Stats'!$B$4:$B$500,A27))</f>
        <v>0</v>
      </c>
      <c r="G27" s="15">
        <f>IF(A27="","",SUMIFS('Player Game Stats'!$F$4:$F$500,'Player Game Stats'!$B$4:$B$500,A27))</f>
        <v>0</v>
      </c>
      <c r="H27" s="15">
        <f t="shared" si="0"/>
        <v>0</v>
      </c>
      <c r="I27" s="15">
        <f>IF(A27="","",SUMIFS('Player Game Stats'!$H$4:$H$500,'Player Game Stats'!$B$4:$B$500,A27))</f>
        <v>0</v>
      </c>
      <c r="J27" s="15">
        <f>IF(A27="","",SUMIFS('Player Game Stats'!$I$4:$I$500,'Player Game Stats'!$B$4:$B$500,A27))</f>
        <v>0</v>
      </c>
      <c r="K27" s="13"/>
    </row>
    <row r="28" spans="1:11">
      <c r="A28" s="15" t="str">
        <f>IF(Players!A28="","",Players!A28)</f>
        <v>P025</v>
      </c>
      <c r="B28" s="15" t="str">
        <f>IF(A28="","",IFERROR(VLOOKUP(A28,Players!$A$4:$D$200,2,FALSE),""))</f>
        <v>Josh Hickman</v>
      </c>
      <c r="C28" s="15">
        <f>IF(A28="","",IFERROR(VLOOKUP(A28,Players!$A$4:$D$200,3,FALSE),""))</f>
        <v>40</v>
      </c>
      <c r="D28" s="15" t="str">
        <f>IF(A28="","",IFERROR(VLOOKUP(A28,Players!$A$4:$D$200,4,FALSE),""))</f>
        <v>Defence</v>
      </c>
      <c r="E28" s="15">
        <f>IF(A28="","",COUNTIFS('Player Game Stats'!$B$4:$B$500,A28,'Player Game Stats'!$D$4:$D$500,"Yes"))</f>
        <v>0</v>
      </c>
      <c r="F28" s="15">
        <f>IF(A28="","",SUMIFS('Player Game Stats'!$E$4:$E$500,'Player Game Stats'!$B$4:$B$500,A28))</f>
        <v>0</v>
      </c>
      <c r="G28" s="15">
        <f>IF(A28="","",SUMIFS('Player Game Stats'!$F$4:$F$500,'Player Game Stats'!$B$4:$B$500,A28))</f>
        <v>0</v>
      </c>
      <c r="H28" s="15">
        <f t="shared" si="0"/>
        <v>0</v>
      </c>
      <c r="I28" s="15">
        <f>IF(A28="","",SUMIFS('Player Game Stats'!$H$4:$H$500,'Player Game Stats'!$B$4:$B$500,A28))</f>
        <v>0</v>
      </c>
      <c r="J28" s="15">
        <f>IF(A28="","",SUMIFS('Player Game Stats'!$I$4:$I$500,'Player Game Stats'!$B$4:$B$500,A28))</f>
        <v>0</v>
      </c>
      <c r="K28" s="13"/>
    </row>
    <row r="29" spans="1:11">
      <c r="A29" s="15" t="str">
        <f>IF(Players!A29="","",Players!A29)</f>
        <v>P026</v>
      </c>
      <c r="B29" s="15" t="str">
        <f>IF(A29="","",IFERROR(VLOOKUP(A29,Players!$A$4:$D$200,2,FALSE),""))</f>
        <v>Ryan Wonfor</v>
      </c>
      <c r="C29" s="15">
        <f>IF(A29="","",IFERROR(VLOOKUP(A29,Players!$A$4:$D$200,3,FALSE),""))</f>
        <v>77</v>
      </c>
      <c r="D29" s="15" t="str">
        <f>IF(A29="","",IFERROR(VLOOKUP(A29,Players!$A$4:$D$200,4,FALSE),""))</f>
        <v>Defence</v>
      </c>
      <c r="E29" s="15">
        <f>IF(A29="","",COUNTIFS('Player Game Stats'!$B$4:$B$500,A29,'Player Game Stats'!$D$4:$D$500,"Yes"))</f>
        <v>0</v>
      </c>
      <c r="F29" s="15">
        <f>IF(A29="","",SUMIFS('Player Game Stats'!$E$4:$E$500,'Player Game Stats'!$B$4:$B$500,A29))</f>
        <v>0</v>
      </c>
      <c r="G29" s="15">
        <f>IF(A29="","",SUMIFS('Player Game Stats'!$F$4:$F$500,'Player Game Stats'!$B$4:$B$500,A29))</f>
        <v>0</v>
      </c>
      <c r="H29" s="15">
        <f t="shared" si="0"/>
        <v>0</v>
      </c>
      <c r="I29" s="15">
        <f>IF(A29="","",SUMIFS('Player Game Stats'!$H$4:$H$500,'Player Game Stats'!$B$4:$B$500,A29))</f>
        <v>0</v>
      </c>
      <c r="J29" s="15">
        <f>IF(A29="","",SUMIFS('Player Game Stats'!$I$4:$I$500,'Player Game Stats'!$B$4:$B$500,A29))</f>
        <v>0</v>
      </c>
      <c r="K29" s="13"/>
    </row>
    <row r="30" spans="1:11">
      <c r="A30" s="15" t="str">
        <f>IF(Players!A30="","",Players!A30)</f>
        <v>P027</v>
      </c>
      <c r="B30" s="15" t="str">
        <f>IF(A30="","",IFERROR(VLOOKUP(A30,Players!$A$4:$D$200,2,FALSE),""))</f>
        <v>Charles Coney</v>
      </c>
      <c r="C30" s="15">
        <f>IF(A30="","",IFERROR(VLOOKUP(A30,Players!$A$4:$D$200,3,FALSE),""))</f>
        <v>88</v>
      </c>
      <c r="D30" s="15" t="str">
        <f>IF(A30="","",IFERROR(VLOOKUP(A30,Players!$A$4:$D$200,4,FALSE),""))</f>
        <v>Defence</v>
      </c>
      <c r="E30" s="15">
        <f>IF(A30="","",COUNTIFS('Player Game Stats'!$B$4:$B$500,A30,'Player Game Stats'!$D$4:$D$500,"Yes"))</f>
        <v>0</v>
      </c>
      <c r="F30" s="15">
        <f>IF(A30="","",SUMIFS('Player Game Stats'!$E$4:$E$500,'Player Game Stats'!$B$4:$B$500,A30))</f>
        <v>0</v>
      </c>
      <c r="G30" s="15">
        <f>IF(A30="","",SUMIFS('Player Game Stats'!$F$4:$F$500,'Player Game Stats'!$B$4:$B$500,A30))</f>
        <v>0</v>
      </c>
      <c r="H30" s="15">
        <f t="shared" si="0"/>
        <v>0</v>
      </c>
      <c r="I30" s="15">
        <f>IF(A30="","",SUMIFS('Player Game Stats'!$H$4:$H$500,'Player Game Stats'!$B$4:$B$500,A30))</f>
        <v>0</v>
      </c>
      <c r="J30" s="15">
        <f>IF(A30="","",SUMIFS('Player Game Stats'!$I$4:$I$500,'Player Game Stats'!$B$4:$B$500,A30))</f>
        <v>0</v>
      </c>
      <c r="K30" s="13"/>
    </row>
    <row r="31" spans="1:11">
      <c r="A31" s="13" t="str">
        <f>IF(Players!A31="","",Players!A31)</f>
        <v/>
      </c>
      <c r="B31" s="13" t="str">
        <f>IF(A31="","",IFERROR(VLOOKUP(A31,Players!$A$4:$D$200,2,FALSE),""))</f>
        <v/>
      </c>
      <c r="C31" s="13" t="str">
        <f>IF(A31="","",IFERROR(VLOOKUP(A31,Players!$A$4:$D$200,3,FALSE),""))</f>
        <v/>
      </c>
      <c r="D31" s="13" t="str">
        <f>IF(A31="","",IFERROR(VLOOKUP(A31,Players!$A$4:$D$200,4,FALSE),""))</f>
        <v/>
      </c>
      <c r="E31" s="13" t="str">
        <f>IF(A31="","",COUNTIFS('Player Game Stats'!$B$4:$B$500,A31,'Player Game Stats'!$D$4:$D$500,"Yes"))</f>
        <v/>
      </c>
      <c r="F31" s="13" t="str">
        <f>IF(A31="","",SUMIFS('Player Game Stats'!$E$4:$E$500,'Player Game Stats'!$B$4:$B$500,A31))</f>
        <v/>
      </c>
      <c r="G31" s="13" t="str">
        <f>IF(A31="","",SUMIFS('Player Game Stats'!$F$4:$F$500,'Player Game Stats'!$B$4:$B$500,A31))</f>
        <v/>
      </c>
      <c r="H31" s="13" t="str">
        <f t="shared" si="0"/>
        <v/>
      </c>
      <c r="I31" s="13" t="str">
        <f>IF(A31="","",SUMIFS('Player Game Stats'!$H$4:$H$500,'Player Game Stats'!$B$4:$B$500,A31))</f>
        <v/>
      </c>
      <c r="J31" s="13" t="str">
        <f>IF(A31="","",SUMIFS('Player Game Stats'!$I$4:$I$500,'Player Game Stats'!$B$4:$B$500,A31))</f>
        <v/>
      </c>
    </row>
    <row r="32" spans="1:11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2026-08-12T13:30:24Z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