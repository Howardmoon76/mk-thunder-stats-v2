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B3873104-5FE3-4204-8429-7DA41A2FC00F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H31" i="6" s="1"/>
  <c r="E31" i="6"/>
  <c r="D31" i="6"/>
  <c r="C31" i="6"/>
  <c r="B31" i="6"/>
  <c r="J32" i="6"/>
  <c r="I32" i="6"/>
  <c r="G32" i="6"/>
  <c r="F32" i="6"/>
  <c r="H32" i="6" s="1"/>
  <c r="E32" i="6"/>
  <c r="D32" i="6"/>
  <c r="C32" i="6"/>
  <c r="B32" i="6"/>
  <c r="J33" i="6"/>
  <c r="I33" i="6"/>
  <c r="G33" i="6"/>
  <c r="F33" i="6"/>
  <c r="H33" i="6" s="1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<sst xmlns="http://schemas.openxmlformats.org/spreadsheetml/2006/main" count="562" uniqueCount="297">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</sst>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tabSelected="1"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zoomScaleNormal="100" zoomScaleSheetLayoutView="100" workbookViewId="0">
      <selection sqref="A1:G1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 t="s">
        <v>209</v>
      </c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I5" sqref="I5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210</v>
      </c>
      <c r="B3" s="6" t="s">
        <v>211</v>
      </c>
      <c r="C3" s="6" t="s">
        <v>212</v>
      </c>
      <c r="D3" s="6" t="s">
        <v>213</v>
      </c>
      <c r="E3" s="6" t="s">
        <v>214</v>
      </c>
      <c r="F3" s="6" t="s">
        <v>215</v>
      </c>
      <c r="G3" s="6" t="s">
        <v>216</v>
      </c>
      <c r="H3" s="6" t="s">
        <v>217</v>
      </c>
      <c r="I3" s="6" t="s">
        <v>218</v>
      </c>
      <c r="J3" s="6" t="s">
        <v>219</v>
      </c>
      <c r="K3" s="6" t="s">
        <v>220</v>
      </c>
      <c r="L3" s="6" t="s">
        <v>221</v>
      </c>
      <c r="M3" s="6" t="s">
        <v>116</v>
      </c>
    </row>
    <row r="4" spans="1:13">
      <c r="A4" s="7" t="s">
        <v>222</v>
      </c>
      <c r="B4" s="8">
        <v>46264</v>
      </c>
      <c r="C4" s="9">
        <v>0.71875</v>
      </c>
      <c r="D4" s="7" t="s">
        <v>37</v>
      </c>
      <c r="E4" s="7" t="s">
        <v>223</v>
      </c>
      <c r="F4" s="7" t="s">
        <v>224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 t="s">
        <v>225</v>
      </c>
      <c r="M4" s="7"/>
    </row>
    <row r="5" spans="1:13">
      <c r="A5" s="7" t="s">
        <v>226</v>
      </c>
      <c r="B5" s="8">
        <v>46270</v>
      </c>
      <c r="C5" s="9">
        <v>0.76041666666666663</v>
      </c>
      <c r="D5" s="7" t="s">
        <v>42</v>
      </c>
      <c r="E5" s="7" t="s">
        <v>223</v>
      </c>
      <c r="F5" s="7" t="s">
        <v>224</v>
      </c>
      <c r="G5" s="7">
        <v>5</v>
      </c>
      <c r="H5" s="7">
        <v>4</v>
      </c>
      <c r="I5" s="10" t="s">
        <v>275</v>
      </c>
      <c r="J5" s="7" t="s">
        <v>296</v>
      </c>
      <c r="K5" s="7" t="s">
        <v>46</v>
      </c>
      <c r="L5" s="7" t="s">
        <v>225</v>
      </c>
      <c r="M5" s="7"/>
    </row>
    <row r="6" spans="1:13">
      <c r="A6" s="7" t="s">
        <v>227</v>
      </c>
      <c r="B6" s="8">
        <v>46278</v>
      </c>
      <c r="C6" s="9">
        <v>0.77083333333333337</v>
      </c>
      <c r="D6" s="7" t="s">
        <v>47</v>
      </c>
      <c r="E6" s="7" t="s">
        <v>228</v>
      </c>
      <c r="F6" s="7" t="s">
        <v>229</v>
      </c>
      <c r="G6" s="7"/>
      <c r="H6" s="7"/>
      <c r="I6" s="10" t="str">
        <f t="shared" si="0"/>
        <v/>
      </c>
      <c r="J6" s="7"/>
      <c r="K6" s="7" t="s">
        <v>230</v>
      </c>
      <c r="L6" s="7" t="s">
        <v>225</v>
      </c>
      <c r="M6" s="7"/>
    </row>
    <row r="7" spans="1:13">
      <c r="A7" s="7" t="s">
        <v>231</v>
      </c>
      <c r="B7" s="8">
        <v>46284</v>
      </c>
      <c r="C7" s="9">
        <v>0.79166666666666663</v>
      </c>
      <c r="D7" s="7" t="s">
        <v>52</v>
      </c>
      <c r="E7" s="7" t="s">
        <v>223</v>
      </c>
      <c r="F7" s="7" t="s">
        <v>229</v>
      </c>
      <c r="G7" s="7"/>
      <c r="H7" s="7"/>
      <c r="I7" s="10"/>
      <c r="J7" s="7"/>
      <c r="K7" s="7" t="s">
        <v>56</v>
      </c>
      <c r="L7" s="7" t="s">
        <v>225</v>
      </c>
      <c r="M7" s="7"/>
    </row>
    <row r="8" spans="1:13">
      <c r="A8" s="7" t="s">
        <v>232</v>
      </c>
      <c r="B8" s="8">
        <v>46285</v>
      </c>
      <c r="C8" s="9">
        <v>0.77083333333333337</v>
      </c>
      <c r="D8" s="7" t="s">
        <v>58</v>
      </c>
      <c r="E8" s="7" t="s">
        <v>228</v>
      </c>
      <c r="F8" s="7" t="s">
        <v>233</v>
      </c>
      <c r="G8" s="7"/>
      <c r="H8" s="7"/>
      <c r="I8" s="10" t="str">
        <f t="shared" si="0"/>
        <v/>
      </c>
      <c r="J8" s="7"/>
      <c r="K8" s="7" t="s">
        <v>230</v>
      </c>
      <c r="L8" s="7" t="s">
        <v>225</v>
      </c>
      <c r="M8" s="7"/>
    </row>
    <row r="9" spans="1:13">
      <c r="A9" s="7" t="s">
        <v>234</v>
      </c>
      <c r="B9" s="8">
        <v>46291</v>
      </c>
      <c r="C9" s="9">
        <v>0.78125</v>
      </c>
      <c r="D9" s="7" t="s">
        <v>74</v>
      </c>
      <c r="E9" s="7" t="s">
        <v>223</v>
      </c>
      <c r="F9" s="7" t="s">
        <v>233</v>
      </c>
      <c r="G9" s="7"/>
      <c r="H9" s="7"/>
      <c r="I9" s="10" t="str">
        <f t="shared" si="0"/>
        <v/>
      </c>
      <c r="J9" s="7"/>
      <c r="K9" s="7" t="s">
        <v>78</v>
      </c>
      <c r="L9" s="7" t="s">
        <v>225</v>
      </c>
      <c r="M9" s="7"/>
    </row>
    <row r="10" spans="1:13">
      <c r="A10" s="7" t="s">
        <v>235</v>
      </c>
      <c r="B10" s="8">
        <v>46298</v>
      </c>
      <c r="C10" s="9">
        <v>0.77083333333333337</v>
      </c>
      <c r="D10" s="7" t="s">
        <v>101</v>
      </c>
      <c r="E10" s="7" t="s">
        <v>228</v>
      </c>
      <c r="F10" s="7" t="s">
        <v>229</v>
      </c>
      <c r="G10" s="7"/>
      <c r="H10" s="7"/>
      <c r="I10" s="10" t="str">
        <f t="shared" si="0"/>
        <v/>
      </c>
      <c r="J10" s="7"/>
      <c r="K10" s="7" t="s">
        <v>230</v>
      </c>
      <c r="L10" s="7" t="s">
        <v>225</v>
      </c>
      <c r="M10" s="7"/>
    </row>
    <row r="11" spans="1:13">
      <c r="A11" s="7" t="s">
        <v>236</v>
      </c>
      <c r="B11" s="8">
        <v>46306</v>
      </c>
      <c r="C11" s="9">
        <v>0.83333333333333304</v>
      </c>
      <c r="D11" s="7" t="s">
        <v>106</v>
      </c>
      <c r="E11" s="7" t="s">
        <v>228</v>
      </c>
      <c r="F11" s="7" t="s">
        <v>233</v>
      </c>
      <c r="G11" s="7"/>
      <c r="H11" s="7"/>
      <c r="I11" s="10" t="str">
        <f t="shared" si="0"/>
        <v/>
      </c>
      <c r="J11" s="7"/>
      <c r="K11" s="7" t="s">
        <v>230</v>
      </c>
      <c r="L11" s="7" t="s">
        <v>225</v>
      </c>
      <c r="M11" s="7"/>
    </row>
    <row r="12" spans="1:13">
      <c r="A12" s="7" t="s">
        <v>237</v>
      </c>
      <c r="B12" s="8">
        <v>46312</v>
      </c>
      <c r="C12" s="9">
        <v>0.72916666666666663</v>
      </c>
      <c r="D12" s="7" t="s">
        <v>101</v>
      </c>
      <c r="E12" s="7" t="s">
        <v>223</v>
      </c>
      <c r="F12" s="7" t="s">
        <v>229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225</v>
      </c>
      <c r="M12" s="7"/>
    </row>
    <row r="13" spans="1:13">
      <c r="A13" s="7" t="s">
        <v>238</v>
      </c>
      <c r="B13" s="8">
        <v>46320</v>
      </c>
      <c r="C13" s="9">
        <v>0.77083333333333304</v>
      </c>
      <c r="D13" s="7" t="s">
        <v>95</v>
      </c>
      <c r="E13" s="7" t="s">
        <v>228</v>
      </c>
      <c r="F13" s="7" t="s">
        <v>229</v>
      </c>
      <c r="G13" s="7"/>
      <c r="H13" s="7"/>
      <c r="I13" s="10" t="str">
        <f t="shared" si="0"/>
        <v/>
      </c>
      <c r="J13" s="7"/>
      <c r="K13" s="7" t="s">
        <v>230</v>
      </c>
      <c r="L13" s="7" t="s">
        <v>225</v>
      </c>
      <c r="M13" s="7"/>
    </row>
    <row r="14" spans="1:13">
      <c r="A14" s="7" t="s">
        <v>239</v>
      </c>
      <c r="B14" s="8">
        <v>46327</v>
      </c>
      <c r="C14" s="9">
        <v>0.75</v>
      </c>
      <c r="D14" s="7" t="s">
        <v>47</v>
      </c>
      <c r="E14" s="7" t="s">
        <v>223</v>
      </c>
      <c r="F14" s="7" t="s">
        <v>229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225</v>
      </c>
      <c r="M14" s="7"/>
    </row>
    <row r="15" spans="1:13">
      <c r="A15" s="7" t="s">
        <v>240</v>
      </c>
      <c r="B15" s="8">
        <v>46334</v>
      </c>
      <c r="C15" s="9">
        <v>0.75</v>
      </c>
      <c r="D15" s="7" t="s">
        <v>52</v>
      </c>
      <c r="E15" s="7" t="s">
        <v>228</v>
      </c>
      <c r="F15" s="7" t="s">
        <v>229</v>
      </c>
      <c r="G15" s="7"/>
      <c r="H15" s="7"/>
      <c r="I15" s="10" t="str">
        <f t="shared" si="0"/>
        <v/>
      </c>
      <c r="J15" s="7"/>
      <c r="K15" s="7" t="s">
        <v>230</v>
      </c>
      <c r="L15" s="7" t="s">
        <v>225</v>
      </c>
      <c r="M15" s="7"/>
    </row>
    <row r="16" spans="1:13">
      <c r="A16" s="7" t="s">
        <v>241</v>
      </c>
      <c r="B16" s="8">
        <v>46340</v>
      </c>
      <c r="C16" s="9">
        <v>0.79166666666666696</v>
      </c>
      <c r="D16" s="7" t="s">
        <v>74</v>
      </c>
      <c r="E16" s="7" t="s">
        <v>228</v>
      </c>
      <c r="F16" s="7" t="s">
        <v>233</v>
      </c>
      <c r="G16" s="7"/>
      <c r="H16" s="7"/>
      <c r="I16" s="10" t="str">
        <f t="shared" si="0"/>
        <v/>
      </c>
      <c r="J16" s="7"/>
      <c r="K16" s="7" t="s">
        <v>230</v>
      </c>
      <c r="L16" s="7" t="s">
        <v>225</v>
      </c>
      <c r="M16" s="7"/>
    </row>
    <row r="17" spans="1:13">
      <c r="A17" s="7" t="s">
        <v>242</v>
      </c>
      <c r="B17" s="8">
        <v>46341</v>
      </c>
      <c r="C17" s="9">
        <v>0.70833333333333337</v>
      </c>
      <c r="D17" s="7" t="s">
        <v>95</v>
      </c>
      <c r="E17" s="7" t="s">
        <v>223</v>
      </c>
      <c r="F17" s="7" t="s">
        <v>229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225</v>
      </c>
      <c r="M17" s="7"/>
    </row>
    <row r="18" spans="1:13">
      <c r="A18" s="7" t="s">
        <v>243</v>
      </c>
      <c r="B18" s="8">
        <v>46354</v>
      </c>
      <c r="C18" s="9">
        <v>0.79166666666666663</v>
      </c>
      <c r="D18" s="7" t="s">
        <v>85</v>
      </c>
      <c r="E18" s="7" t="s">
        <v>223</v>
      </c>
      <c r="F18" s="7" t="s">
        <v>229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225</v>
      </c>
      <c r="M18" s="7"/>
    </row>
    <row r="19" spans="1:13">
      <c r="A19" s="7" t="s">
        <v>244</v>
      </c>
      <c r="B19" s="8">
        <v>46355</v>
      </c>
      <c r="C19" s="9">
        <v>0.72916666666666663</v>
      </c>
      <c r="D19" s="7" t="s">
        <v>58</v>
      </c>
      <c r="E19" s="7" t="s">
        <v>223</v>
      </c>
      <c r="F19" s="7" t="s">
        <v>233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225</v>
      </c>
      <c r="M19" s="7"/>
    </row>
    <row r="20" spans="1:13">
      <c r="A20" s="7" t="s">
        <v>245</v>
      </c>
      <c r="B20" s="8">
        <v>46368</v>
      </c>
      <c r="C20" s="9">
        <v>0.8125</v>
      </c>
      <c r="D20" s="7" t="s">
        <v>63</v>
      </c>
      <c r="E20" s="7" t="s">
        <v>223</v>
      </c>
      <c r="F20" s="7" t="s">
        <v>233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225</v>
      </c>
      <c r="M20" s="7"/>
    </row>
    <row r="21" spans="1:13">
      <c r="A21" s="7" t="s">
        <v>246</v>
      </c>
      <c r="B21" s="8">
        <v>46369</v>
      </c>
      <c r="C21" s="9">
        <v>0.77083333333333337</v>
      </c>
      <c r="D21" s="7" t="s">
        <v>68</v>
      </c>
      <c r="E21" s="7" t="s">
        <v>228</v>
      </c>
      <c r="F21" s="7" t="s">
        <v>233</v>
      </c>
      <c r="G21" s="7"/>
      <c r="H21" s="7"/>
      <c r="I21" s="10" t="str">
        <f t="shared" si="0"/>
        <v/>
      </c>
      <c r="J21" s="7"/>
      <c r="K21" s="7" t="s">
        <v>230</v>
      </c>
      <c r="L21" s="7" t="s">
        <v>225</v>
      </c>
      <c r="M21" s="7"/>
    </row>
    <row r="22" spans="1:13">
      <c r="A22" s="7" t="s">
        <v>247</v>
      </c>
      <c r="B22" s="8">
        <v>46376</v>
      </c>
      <c r="C22" s="9">
        <v>0.77083333333333337</v>
      </c>
      <c r="D22" s="7" t="s">
        <v>85</v>
      </c>
      <c r="E22" s="7" t="s">
        <v>228</v>
      </c>
      <c r="F22" s="7" t="s">
        <v>229</v>
      </c>
      <c r="G22" s="7"/>
      <c r="H22" s="7"/>
      <c r="I22" s="10" t="str">
        <f t="shared" si="0"/>
        <v/>
      </c>
      <c r="J22" s="7"/>
      <c r="K22" s="7" t="s">
        <v>230</v>
      </c>
      <c r="L22" s="7" t="s">
        <v>225</v>
      </c>
      <c r="M22" s="7"/>
    </row>
    <row r="23" spans="1:13">
      <c r="A23" s="7" t="s">
        <v>248</v>
      </c>
      <c r="B23" s="8">
        <v>46397</v>
      </c>
      <c r="C23" s="9">
        <v>0.77083333333333337</v>
      </c>
      <c r="D23" s="7" t="s">
        <v>80</v>
      </c>
      <c r="E23" s="7" t="s">
        <v>228</v>
      </c>
      <c r="F23" s="7" t="s">
        <v>233</v>
      </c>
      <c r="G23" s="7"/>
      <c r="H23" s="7"/>
      <c r="I23" s="10" t="str">
        <f t="shared" si="0"/>
        <v/>
      </c>
      <c r="J23" s="7"/>
      <c r="K23" s="7" t="s">
        <v>230</v>
      </c>
      <c r="L23" s="7" t="s">
        <v>225</v>
      </c>
      <c r="M23" s="7"/>
    </row>
    <row r="24" spans="1:13">
      <c r="A24" s="7" t="s">
        <v>249</v>
      </c>
      <c r="B24" s="8">
        <v>46417</v>
      </c>
      <c r="C24" s="9">
        <v>0.79166666666666663</v>
      </c>
      <c r="D24" s="7" t="s">
        <v>90</v>
      </c>
      <c r="E24" s="7" t="s">
        <v>228</v>
      </c>
      <c r="F24" s="7" t="s">
        <v>233</v>
      </c>
      <c r="G24" s="7"/>
      <c r="H24" s="7"/>
      <c r="I24" s="10" t="str">
        <f t="shared" si="0"/>
        <v/>
      </c>
      <c r="J24" s="7"/>
      <c r="K24" s="7" t="s">
        <v>230</v>
      </c>
      <c r="L24" s="7" t="s">
        <v>225</v>
      </c>
      <c r="M24" s="7"/>
    </row>
    <row r="25" spans="1:13">
      <c r="A25" s="7" t="s">
        <v>250</v>
      </c>
      <c r="B25" s="8">
        <v>46425</v>
      </c>
      <c r="C25" s="9">
        <v>0.77083333333333337</v>
      </c>
      <c r="D25" s="7" t="s">
        <v>63</v>
      </c>
      <c r="E25" s="7" t="s">
        <v>228</v>
      </c>
      <c r="F25" s="7" t="s">
        <v>233</v>
      </c>
      <c r="G25" s="7"/>
      <c r="H25" s="7"/>
      <c r="I25" s="10" t="str">
        <f t="shared" si="0"/>
        <v/>
      </c>
      <c r="J25" s="7"/>
      <c r="K25" s="7" t="s">
        <v>230</v>
      </c>
      <c r="L25" s="7" t="s">
        <v>225</v>
      </c>
      <c r="M25" s="7"/>
    </row>
    <row r="26" spans="1:13">
      <c r="A26" s="7" t="s">
        <v>251</v>
      </c>
      <c r="B26" s="8">
        <v>46446</v>
      </c>
      <c r="C26" s="9">
        <v>0.76041666666666663</v>
      </c>
      <c r="D26" s="7" t="s">
        <v>80</v>
      </c>
      <c r="E26" s="7" t="s">
        <v>223</v>
      </c>
      <c r="F26" s="7" t="s">
        <v>233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225</v>
      </c>
      <c r="M26" s="7"/>
    </row>
    <row r="27" spans="1:13">
      <c r="A27" s="7" t="s">
        <v>252</v>
      </c>
      <c r="B27" s="8">
        <v>46452</v>
      </c>
      <c r="C27" s="9">
        <v>0.72916666666666663</v>
      </c>
      <c r="D27" s="7" t="s">
        <v>68</v>
      </c>
      <c r="E27" s="7" t="s">
        <v>223</v>
      </c>
      <c r="F27" s="7" t="s">
        <v>233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225</v>
      </c>
      <c r="M27" s="7"/>
    </row>
    <row r="28" spans="1:13">
      <c r="A28" s="7" t="s">
        <v>253</v>
      </c>
      <c r="B28" s="8">
        <v>46459</v>
      </c>
      <c r="C28" s="9">
        <v>0.78125</v>
      </c>
      <c r="D28" s="7" t="s">
        <v>106</v>
      </c>
      <c r="E28" s="7" t="s">
        <v>223</v>
      </c>
      <c r="F28" s="7" t="s">
        <v>233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225</v>
      </c>
      <c r="M28" s="7"/>
    </row>
    <row r="29" spans="1:13">
      <c r="A29" s="7" t="s">
        <v>254</v>
      </c>
      <c r="B29" s="8">
        <v>46467</v>
      </c>
      <c r="C29" s="9">
        <v>0.73958333333333337</v>
      </c>
      <c r="D29" s="7" t="s">
        <v>90</v>
      </c>
      <c r="E29" s="7" t="s">
        <v>223</v>
      </c>
      <c r="F29" s="7" t="s">
        <v>233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225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F12" sqref="F12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255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210</v>
      </c>
      <c r="B3" s="6" t="s">
        <v>111</v>
      </c>
      <c r="C3" s="6" t="s">
        <v>256</v>
      </c>
      <c r="D3" s="6" t="s">
        <v>257</v>
      </c>
      <c r="E3" s="6" t="s">
        <v>258</v>
      </c>
      <c r="F3" s="6" t="s">
        <v>259</v>
      </c>
      <c r="G3" s="6" t="s">
        <v>260</v>
      </c>
      <c r="H3" s="6" t="s">
        <v>261</v>
      </c>
      <c r="I3" s="6" t="s">
        <v>262</v>
      </c>
      <c r="J3" s="6" t="s">
        <v>116</v>
      </c>
    </row>
    <row r="4" spans="1:10">
      <c r="A4" s="7" t="s">
        <v>222</v>
      </c>
      <c r="B4" s="7" t="s">
        <v>117</v>
      </c>
      <c r="C4" s="10" t="str">
        <f>IF(B5="","",IFERROR(VLOOKUP(B4,Players!$A$4:$B$200,2,FALSE),""))</f>
        <v>Sam Peters</v>
      </c>
      <c r="D4" s="7" t="s">
        <v>263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222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222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222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264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210</v>
      </c>
      <c r="B3" s="6" t="s">
        <v>111</v>
      </c>
      <c r="C3" s="6" t="s">
        <v>131</v>
      </c>
      <c r="D3" s="6" t="s">
        <v>265</v>
      </c>
      <c r="E3" s="6" t="s">
        <v>266</v>
      </c>
      <c r="F3" s="6" t="s">
        <v>267</v>
      </c>
      <c r="G3" s="6" t="s">
        <v>268</v>
      </c>
      <c r="H3" s="6" t="s">
        <v>269</v>
      </c>
      <c r="I3" s="6" t="s">
        <v>270</v>
      </c>
      <c r="J3" s="6" t="s">
        <v>271</v>
      </c>
      <c r="K3" s="6" t="s">
        <v>116</v>
      </c>
    </row>
    <row r="4" spans="1:11">
      <c r="A4" s="7" t="s">
        <v>222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F14" sqref="F14"/>
    </sheetView>
  </sheetViews>
  <sheetFormatPr defaultRowHeight="14.25"/>
  <cols>
    <col min="1" max="1" width="20.375" customWidth="1"/>
  </cols>
  <sheetData>
    <row r="1" spans="1:10" ht="20.25">
      <c r="A1" s="22" t="s">
        <v>272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107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86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75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59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69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t="s">
        <v>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t="s">
        <v>102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t="s">
        <v>31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t="s">
        <v>81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>
      <c r="A14" t="s">
        <v>64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>
      <c r="A15" t="s">
        <v>91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>
      <c r="A16" t="s">
        <v>96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C16" sqref="C16"/>
    </sheetView>
  </sheetViews>
  <sheetFormatPr defaultRowHeight="14.25"/>
  <cols>
    <col min="1" max="1" width="20.375" customWidth="1"/>
  </cols>
  <sheetData>
    <row r="1" spans="1:10" ht="20.25">
      <c r="A1" s="22" t="s">
        <v>283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86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102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96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25" zoomScaleNormal="100" zoomScaleSheetLayoutView="100" workbookViewId="0">
      <selection activeCell="N48" sqref="N4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284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285</v>
      </c>
      <c r="M2" s="6" t="s">
        <v>286</v>
      </c>
    </row>
    <row r="3" spans="1:13" ht="30">
      <c r="A3" s="1" t="s">
        <v>111</v>
      </c>
      <c r="B3" s="1" t="s">
        <v>287</v>
      </c>
      <c r="C3" s="1" t="s">
        <v>288</v>
      </c>
      <c r="D3" s="1" t="s">
        <v>289</v>
      </c>
      <c r="E3" s="1" t="s">
        <v>274</v>
      </c>
      <c r="F3" s="1" t="s">
        <v>290</v>
      </c>
      <c r="G3" s="1" t="s">
        <v>223</v>
      </c>
      <c r="H3" s="1" t="s">
        <v>282</v>
      </c>
      <c r="I3" s="1" t="s">
        <v>261</v>
      </c>
      <c r="J3" s="1" t="s">
        <v>262</v>
      </c>
      <c r="K3" s="13"/>
      <c r="L3" s="12" t="s">
        <v>291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292</v>
      </c>
      <c r="M4" s="12">
        <f>SUM(Games!$G$4:$G$200)</f>
        <v>17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293</v>
      </c>
      <c r="M5" s="12">
        <f>SUM(Games!$H$4:$H$200)</f>
        <v>6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294</v>
      </c>
      <c r="M6" s="12">
        <f>COUNTIF(Games!$I$4:$I$200,"W")</f>
        <v>2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295</v>
      </c>
      <c r="M7" s="12">
        <f>COUNTIF(Games!$I$4:$I$200,"L")</f>
        <v>0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0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2026-09-07T14:42:49Z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