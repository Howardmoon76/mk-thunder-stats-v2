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56F4593D-DBCB-42AD-82DD-F78177B6CD08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<sst xmlns="http://schemas.openxmlformats.org/spreadsheetml/2006/main" count="560" uniqueCount="296">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</sst>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1" fillId="2" borderId="1" xfId="0" applyFont="1" applyFill="1" applyBorder="1" applyAlignment="1">
      <alignment vertical="center"/>
    </xf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9" t="s">
        <v>0</v>
      </c>
      <c r="B1" s="19"/>
      <c r="C1" s="19"/>
      <c r="D1" s="19"/>
      <c r="E1" s="19"/>
      <c r="F1" s="1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9" t="s">
        <v>20</v>
      </c>
      <c r="B1" s="19"/>
      <c r="C1" s="19"/>
      <c r="D1" s="19"/>
      <c r="E1" s="19"/>
      <c r="F1" s="19"/>
      <c r="G1" s="19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activeCell="B1"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9" t="s">
        <v>3</v>
      </c>
      <c r="B1" s="19"/>
      <c r="C1" s="19"/>
      <c r="D1" s="19"/>
      <c r="E1" s="19"/>
      <c r="F1" s="19"/>
      <c r="G1" s="19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20" t="s">
        <v>204</v>
      </c>
      <c r="B32" s="20" t="s">
        <v>205</v>
      </c>
      <c r="C32" s="20">
        <v>81</v>
      </c>
      <c r="D32" s="20" t="s">
        <v>126</v>
      </c>
      <c r="E32" s="20" t="s">
        <v>36</v>
      </c>
      <c r="F32" s="20" t="s">
        <v>206</v>
      </c>
      <c r="G32" s="20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K8" sqref="K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9" t="s">
        <v>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/>
      <c r="H5" s="7"/>
      <c r="I5" s="10" t="str">
        <f t="shared" si="0"/>
        <v/>
      </c>
      <c r="J5" s="7"/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/>
      <c r="H6" s="7"/>
      <c r="I6" s="10" t="str">
        <f t="shared" si="0"/>
        <v/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9" t="s">
        <v>255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5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tabSelected="1"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9" t="s">
        <v>264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2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9" t="s">
        <v>272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9" t="s">
        <v>283</v>
      </c>
      <c r="B1" s="19"/>
      <c r="C1" s="19"/>
      <c r="D1" s="19"/>
      <c r="E1" s="19"/>
      <c r="F1" s="19"/>
      <c r="G1" s="19"/>
      <c r="H1" s="19"/>
      <c r="I1" s="19"/>
      <c r="J1" s="19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9" t="s">
        <v>284</v>
      </c>
      <c r="B1" s="19"/>
      <c r="C1" s="19"/>
      <c r="D1" s="19"/>
      <c r="E1" s="19"/>
      <c r="F1" s="19"/>
      <c r="G1" s="19"/>
      <c r="H1" s="19"/>
      <c r="I1" s="19"/>
      <c r="J1" s="19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12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2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1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1" t="str">
        <f>IF(Players!A30="","",Players!A30)</f>
        <v>P027</v>
      </c>
      <c r="B30" s="21" t="str">
        <f>IF(A30="","",IFERROR(VLOOKUP(A30,Players!$A$4:$D$200,2,FALSE),""))</f>
        <v>Charles Coney</v>
      </c>
      <c r="C30" s="21">
        <f>IF(A30="","",IFERROR(VLOOKUP(A30,Players!$A$4:$D$200,3,FALSE),""))</f>
        <v>88</v>
      </c>
      <c r="D30" s="21" t="str">
        <f>IF(A30="","",IFERROR(VLOOKUP(A30,Players!$A$4:$D$200,4,FALSE),""))</f>
        <v>Defence</v>
      </c>
      <c r="E30" s="21">
        <f>IF(A30="","",COUNTIFS('Player Game Stats'!$B$4:$B$500,A30,'Player Game Stats'!$D$4:$D$500,"Yes"))</f>
        <v>0</v>
      </c>
      <c r="F30" s="21">
        <f>IF(A30="","",SUMIFS('Player Game Stats'!$E$4:$E$500,'Player Game Stats'!$B$4:$B$500,A30))</f>
        <v>0</v>
      </c>
      <c r="G30" s="21">
        <f>IF(A30="","",SUMIFS('Player Game Stats'!$F$4:$F$500,'Player Game Stats'!$B$4:$B$500,A30))</f>
        <v>0</v>
      </c>
      <c r="H30" s="21">
        <f t="shared" si="0"/>
        <v>0</v>
      </c>
      <c r="I30" s="21">
        <f>IF(A30="","",SUMIFS('Player Game Stats'!$H$4:$H$500,'Player Game Stats'!$B$4:$B$500,A30))</f>
        <v>0</v>
      </c>
      <c r="J30" s="21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2026-08-31T23:27:16Z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