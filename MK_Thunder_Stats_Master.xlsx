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94DD3027-AC4A-4501-886E-F93BFC0C04B9}" xr6:coauthVersionLast="47" xr6:coauthVersionMax="47" xr10:uidLastSave="{00000000-0000-0000-0000-000000000000}"/>
  <bookViews>
    <workbookView xWindow="28680" yWindow="-120" windowWidth="29040" windowHeight="15720" firstSheet="5" activeTab="5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<sst xmlns="http://schemas.openxmlformats.org/spreadsheetml/2006/main" count="479" uniqueCount="261">
  <si>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</si>
  <si>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</si>
  <si>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</si>
  <si>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</si>
  <si>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</si>
  <si>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</si>
  <si>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</si>
  <si>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</si>
  <si>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</si>
  <si>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</si>
  <si>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</si>
  <si>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</si>
  <si>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</si>
  <si>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</si>
  <si>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</si>
  <si>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</si>
  <si>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</si>
  <si>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</si>
  <si>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</si>
  <si>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</si>
  <si>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</si>
  <si>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</si>
  <si>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</si>
  <si>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</si>
  <si>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</si>
  <si>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</si>
  <si>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</si>
  <si>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</si>
  <si>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</si>
  <si>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</si>
  <si>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</si>
  <si>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</si>
  <si>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</si>
  <si>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</si>
  <si>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</si>
  <si>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</si>
  <si>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</si>
  <si>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</si>
  <si>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</si>
  <si>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</si>
  <si>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</si>
  <si>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</si>
  <si>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</si>
  <si>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</si>
  <si>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</si>
  <si>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</si>
  <si>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</si>
  <si>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</si>
  <si>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</si>
  <si>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</si>
  <si>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</si>
  <si>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</si>
  <si>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</si>
  <si>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</si>
  <si>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</si>
  <si>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</si>
  <si>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</si>
  <si>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</si>
  <si>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</si>
  <si>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</si>
  <si>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</si>
  <si>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</si>
  <si>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</si>
  <si>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</si>
  <si>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</si>
  <si>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</si>
  <si>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</si>
  <si>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</si>
  <si>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</si>
  <si>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</si>
  <si>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</si>
  <si>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</si>
  <si>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</si>
  <si>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</si>
  <si>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</si>
  <si>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</si>
  <si>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</si>
  <si>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</si>
  <si>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</si>
  <si>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</si>
  <si>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</si>
  <si>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</si>
  <si>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</si>
  <si>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</si>
  <si>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</si>
  <si>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</si>
  <si>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</si>
  <si>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</si>
  <si>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</si>
  <si>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</si>
  <si>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</si>
  <si>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</si>
  <si>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</si>
  <si>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</si>
  <si>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</si>
  <si>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</si>
  <si>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</si>
  <si>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</si>
  <si>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</si>
  <si>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</si>
  <si>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</si>
  <si>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</si>
  <si>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</si>
  <si>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</si>
  <si>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</si>
  <si>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</si>
  <si>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</si>
  <si>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</si>
  <si>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</si>
  <si>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</si>
  <si>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</si>
  <si>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</si>
  <si>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</si>
  <si>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</si>
  <si>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</si>
  <si>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</si>
  <si>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</si>
  <si>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</si>
  <si>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</si>
  <si>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</si>
  <si>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</si>
  <si>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</si>
  <si>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</si>
  <si>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</si>
  <si>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</si>
  <si>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</si>
  <si>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</si>
  <si>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</si>
  <si>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</si>
  <si>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</si>
  <si>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</si>
  <si>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</si>
  <si>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</si>
  <si>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</si>
  <si>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</si>
  <si>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</si>
  <si>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</si>
  <si>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</si>
  <si>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</si>
  <si>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</si>
  <si>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</si>
  <si>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</si>
  <si>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</si>
  <si>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</si>
  <si>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</si>
  <si>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</si>
  <si>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</si>
  <si>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</si>
  <si>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</si>
  <si>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</si>
  <si>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</si>
  <si>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</si>
  <si>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</si>
  <si>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</si>
  <si>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</si>
  <si>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</si>
  <si>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</si>
  <si>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</si>
  <si>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</si>
  <si>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</si>
  <si>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</si>
  <si>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</si>
  <si>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</si>
  <si>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</si>
  <si>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</si>
  <si>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</si>
  <si>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</si>
  <si>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</si>
  <si>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</si>
  <si>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</si>
  <si>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</si>
  <si>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</si>
  <si>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</si>
  <si>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</si>
  <si>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</si>
  <si>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</si>
  <si>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</si>
  <si>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</si>
  <si>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</si>
  <si>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</si>
  <si>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</si>
  <si>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</si>
  <si>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</si>
  <si>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</si>
  <si>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</si>
  <si>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</si>
  <si>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</si>
  <si>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</si>
  <si>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</si>
  <si>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</si>
  <si>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</si>
  <si>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</si>
  <si>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</si>
  <si>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</si>
  <si>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</si>
  <si>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</si>
  <si>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</si>
  <si>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</si>
  <si>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</si>
  <si>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</si>
  <si>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</si>
  <si>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</si>
  <si>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</si>
  <si>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</si>
  <si>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</si>
  <si>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</si>
  <si>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</si>
  <si>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</si>
  <si>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</si>
  <si>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</si>
  <si>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</si>
  <si>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</si>
  <si>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</si>
  <si>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</si>
  <si>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</si>
  <si>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</si>
  <si>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</si>
  <si>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</si>
  <si>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</si>
  <si>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</si>
  <si>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</si>
  <si>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</si>
  <si>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</si>
  <si>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</si>
  <si>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</si>
  <si>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</si>
  <si>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</si>
  <si>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</si>
  <si>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</si>
  <si>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</si>
  <si>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</si>
  <si>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</si>
  <si>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</si>
  <si>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</si>
  <si>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</si>
  <si>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</si>
  <si>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</si>
  <si>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</si>
  <si>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</si>
  <si>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</si>
  <si>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</si>
  <si>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</si>
  <si>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</si>
  <si>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</si>
  <si>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</si>
  <si>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</si>
  <si>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Aaron burton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</si>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</sst>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6" t="s">
        <v>0</v>
      </c>
      <c r="B1" s="16"/>
      <c r="C1" s="16"/>
      <c r="D1" s="16"/>
      <c r="E1" s="16"/>
      <c r="F1" s="16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6" t="s">
        <v>20</v>
      </c>
      <c r="B1" s="16"/>
      <c r="C1" s="16"/>
      <c r="D1" s="16"/>
      <c r="E1" s="16"/>
      <c r="F1" s="16"/>
      <c r="G1" s="16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6" t="s">
        <v>3</v>
      </c>
      <c r="B1" s="16"/>
      <c r="C1" s="16"/>
      <c r="D1" s="16"/>
      <c r="E1" s="16"/>
      <c r="F1" s="16"/>
      <c r="G1" s="16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/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/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/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/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/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6" t="s">
        <v>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4" sqref="I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6" t="s">
        <v>230</v>
      </c>
      <c r="B1" s="16"/>
      <c r="C1" s="16"/>
      <c r="D1" s="16"/>
      <c r="E1" s="16"/>
      <c r="F1" s="16"/>
      <c r="G1" s="16"/>
      <c r="H1" s="16"/>
      <c r="I1" s="16"/>
      <c r="J1" s="16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 t="s">
        <v>197</v>
      </c>
      <c r="B4" s="7" t="s">
        <v>117</v>
      </c>
      <c r="C4" s="10" t="str">
        <f>IF(B4="","",IFERROR(VLOOKUP(B4,Players!$A$4:$B$200,2,FALSE),""))</f>
        <v>Sam Peters</v>
      </c>
      <c r="D4" s="7" t="s">
        <v>36</v>
      </c>
      <c r="E4" s="7">
        <v>1</v>
      </c>
      <c r="F4" s="7">
        <v>1</v>
      </c>
      <c r="G4" s="10">
        <f t="shared" ref="G4:G67" si="0">IF(AND(E4="",F4=""),"",SUM(E4:F4))</f>
        <v>2</v>
      </c>
      <c r="H4" s="7">
        <v>2</v>
      </c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tabSelected="1" zoomScaleNormal="100" zoomScaleSheetLayoutView="100" workbookViewId="0">
      <selection activeCell="G4" sqref="G4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8.62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6" t="s">
        <v>238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 t="s">
        <v>197</v>
      </c>
      <c r="B4" s="7" t="s">
        <v>129</v>
      </c>
      <c r="C4" s="10" t="s">
        <v>246</v>
      </c>
      <c r="D4" s="15">
        <v>2.5</v>
      </c>
      <c r="E4" s="7">
        <v>20</v>
      </c>
      <c r="F4" s="7">
        <v>1</v>
      </c>
      <c r="G4" s="10">
        <f t="shared" ref="G4:G35" si="0">IF(E4="","",E4-F4)</f>
        <v>19</v>
      </c>
      <c r="H4" s="11">
        <f t="shared" ref="H4:H35" si="1">IF(OR(E4="",E4=0),"",G4/E4)</f>
        <v>0.95</v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6" t="s">
        <v>247</v>
      </c>
      <c r="B1" s="16"/>
      <c r="C1" s="16"/>
      <c r="D1" s="16"/>
      <c r="E1" s="16"/>
      <c r="F1" s="16"/>
      <c r="G1" s="16"/>
      <c r="H1" s="16"/>
      <c r="I1" s="16"/>
      <c r="J1" s="16"/>
    </row>
    <row r="2" spans="1:13" ht="15">
      <c r="L2" s="6" t="s">
        <v>248</v>
      </c>
      <c r="M2" s="6" t="s">
        <v>249</v>
      </c>
    </row>
    <row r="3" spans="1:13" ht="30">
      <c r="A3" s="1" t="s">
        <v>111</v>
      </c>
      <c r="B3" s="1" t="s">
        <v>250</v>
      </c>
      <c r="C3" s="1" t="s">
        <v>251</v>
      </c>
      <c r="D3" s="1" t="s">
        <v>252</v>
      </c>
      <c r="E3" s="1" t="s">
        <v>253</v>
      </c>
      <c r="F3" s="1" t="s">
        <v>254</v>
      </c>
      <c r="G3" s="1" t="s">
        <v>198</v>
      </c>
      <c r="H3" s="1" t="s">
        <v>255</v>
      </c>
      <c r="I3" s="1" t="s">
        <v>236</v>
      </c>
      <c r="J3" s="1" t="s">
        <v>237</v>
      </c>
      <c r="K3" s="13"/>
      <c r="L3" s="12" t="s">
        <v>256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1</v>
      </c>
      <c r="F4" s="12">
        <f>IF(A4="","",SUMIFS('Player Game Stats'!$E$4:$E$500,'Player Game Stats'!$B$4:$B$500,A4))</f>
        <v>1</v>
      </c>
      <c r="G4" s="12">
        <f>IF(A4="","",SUMIFS('Player Game Stats'!$F$4:$F$500,'Player Game Stats'!$B$4:$B$500,A4))</f>
        <v>1</v>
      </c>
      <c r="H4" s="12">
        <f t="shared" ref="H4:H35" si="0">IF(A4="","",F4+G4)</f>
        <v>2</v>
      </c>
      <c r="I4" s="12">
        <f>IF(A4="","",SUMIFS('Player Game Stats'!$H$4:$H$500,'Player Game Stats'!$B$4:$B$500,A4))</f>
        <v>2</v>
      </c>
      <c r="J4" s="12">
        <f>IF(A4="","",SUMIFS('Player Game Stats'!$I$4:$I$500,'Player Game Stats'!$B$4:$B$500,A4))</f>
        <v>0</v>
      </c>
      <c r="K4" s="13"/>
      <c r="L4" s="12" t="s">
        <v>257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258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259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260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2" t="str">
        <f>IF(Players!A9="","",Players!A9)</f>
        <v>P006</v>
      </c>
      <c r="B9" s="12" t="str">
        <f>IF(A9="","",IFERROR(VLOOKUP(A9,Players!$A$4:$D$200,2,FALSE),""))</f>
        <v>Lewis Smith</v>
      </c>
      <c r="C9" s="12">
        <f>IF(A9="","",IFERROR(VLOOKUP(A9,Players!$A$4:$D$200,3,FALSE),""))</f>
        <v>13</v>
      </c>
      <c r="D9" s="12" t="str">
        <f>IF(A9="","",IFERROR(VLOOKUP(A9,Players!$A$4:$D$200,4,FALSE),""))</f>
        <v>Forward</v>
      </c>
      <c r="E9" s="12">
        <f>IF(A9="","",COUNTIFS('Player Game Stats'!$B$4:$B$500,A9,'Player Game Stats'!$D$4:$D$500,"Yes"))</f>
        <v>0</v>
      </c>
      <c r="F9" s="12">
        <f>IF(A9="","",SUMIFS('Player Game Stats'!$E$4:$E$500,'Player Game Stats'!$B$4:$B$500,A9))</f>
        <v>0</v>
      </c>
      <c r="G9" s="12">
        <f>IF(A9="","",SUMIFS('Player Game Stats'!$F$4:$F$500,'Player Game Stats'!$B$4:$B$500,A9))</f>
        <v>0</v>
      </c>
      <c r="H9" s="12">
        <f t="shared" si="0"/>
        <v>0</v>
      </c>
      <c r="I9" s="12">
        <f>IF(A9="","",SUMIFS('Player Game Stats'!$H$4:$H$500,'Player Game Stats'!$B$4:$B$500,A9))</f>
        <v>0</v>
      </c>
      <c r="J9" s="12">
        <f>IF(A9="","",SUMIFS('Player Game Stats'!$I$4:$I$500,'Player Game Stats'!$B$4:$B$500,A9))</f>
        <v>0</v>
      </c>
      <c r="K9" s="13"/>
      <c r="L9" s="13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>P022</v>
      </c>
      <c r="B25" t="str">
        <f>IF(A25="","",IFERROR(VLOOKUP(A25,Players!$A$4:$D$200,2,FALSE),""))</f>
        <v>Corey Taylor</v>
      </c>
      <c r="C25">
        <f>IF(A25="","",IFERROR(VLOOKUP(A25,Players!$A$4:$D$200,3,FALSE),""))</f>
        <v>16</v>
      </c>
      <c r="D25" t="str">
        <f>IF(A25="","",IFERROR(VLOOKUP(A25,Players!$A$4:$D$200,4,FALSE),""))</f>
        <v>Defence</v>
      </c>
      <c r="E25">
        <f>IF(A25="","",COUNTIFS('Player Game Stats'!$B$4:$B$500,A25,'Player Game Stats'!$D$4:$D$500,"Yes"))</f>
        <v>0</v>
      </c>
      <c r="F25">
        <f>IF(A25="","",SUMIFS('Player Game Stats'!$E$4:$E$500,'Player Game Stats'!$B$4:$B$500,A25))</f>
        <v>0</v>
      </c>
      <c r="G25">
        <f>IF(A25="","",SUMIFS('Player Game Stats'!$F$4:$F$500,'Player Game Stats'!$B$4:$B$500,A25))</f>
        <v>0</v>
      </c>
      <c r="H25">
        <f t="shared" si="0"/>
        <v>0</v>
      </c>
      <c r="I25">
        <f>IF(A25="","",SUMIFS('Player Game Stats'!$H$4:$H$500,'Player Game Stats'!$B$4:$B$500,A25))</f>
        <v>0</v>
      </c>
      <c r="J25">
        <f>IF(A25="","",SUMIFS('Player Game Stats'!$I$4:$I$500,'Player Game Stats'!$B$4:$B$500,A25))</f>
        <v>0</v>
      </c>
    </row>
    <row r="26" spans="1:10">
      <c r="A26" t="str">
        <f>IF(Players!A26="","",Players!A26)</f>
        <v>P023</v>
      </c>
      <c r="B26" t="str">
        <f>IF(A26="","",IFERROR(VLOOKUP(A26,Players!$A$4:$D$200,2,FALSE),""))</f>
        <v>James Bryan</v>
      </c>
      <c r="C26">
        <f>IF(A26="","",IFERROR(VLOOKUP(A26,Players!$A$4:$D$200,3,FALSE),""))</f>
        <v>23</v>
      </c>
      <c r="D26" t="str">
        <f>IF(A26="","",IFERROR(VLOOKUP(A26,Players!$A$4:$D$200,4,FALSE),""))</f>
        <v>Defence</v>
      </c>
      <c r="E26">
        <f>IF(A26="","",COUNTIFS('Player Game Stats'!$B$4:$B$500,A26,'Player Game Stats'!$D$4:$D$500,"Yes"))</f>
        <v>0</v>
      </c>
      <c r="F26">
        <f>IF(A26="","",SUMIFS('Player Game Stats'!$E$4:$E$500,'Player Game Stats'!$B$4:$B$500,A26))</f>
        <v>0</v>
      </c>
      <c r="G26">
        <f>IF(A26="","",SUMIFS('Player Game Stats'!$F$4:$F$500,'Player Game Stats'!$B$4:$B$500,A26))</f>
        <v>0</v>
      </c>
      <c r="H26">
        <f t="shared" si="0"/>
        <v>0</v>
      </c>
      <c r="I26">
        <f>IF(A26="","",SUMIFS('Player Game Stats'!$H$4:$H$500,'Player Game Stats'!$B$4:$B$500,A26))</f>
        <v>0</v>
      </c>
      <c r="J26">
        <f>IF(A26="","",SUMIFS('Player Game Stats'!$I$4:$I$500,'Player Game Stats'!$B$4:$B$500,A26))</f>
        <v>0</v>
      </c>
    </row>
    <row r="27" spans="1:10">
      <c r="A27" t="str">
        <f>IF(Players!A27="","",Players!A27)</f>
        <v>P024</v>
      </c>
      <c r="B27" t="str">
        <f>IF(A27="","",IFERROR(VLOOKUP(A27,Players!$A$4:$D$200,2,FALSE),""))</f>
        <v>Josh Furnell</v>
      </c>
      <c r="C27">
        <f>IF(A27="","",IFERROR(VLOOKUP(A27,Players!$A$4:$D$200,3,FALSE),""))</f>
        <v>33</v>
      </c>
      <c r="D27" t="str">
        <f>IF(A27="","",IFERROR(VLOOKUP(A27,Players!$A$4:$D$200,4,FALSE),""))</f>
        <v>Defence</v>
      </c>
      <c r="E27">
        <f>IF(A27="","",COUNTIFS('Player Game Stats'!$B$4:$B$500,A27,'Player Game Stats'!$D$4:$D$500,"Yes"))</f>
        <v>0</v>
      </c>
      <c r="F27">
        <f>IF(A27="","",SUMIFS('Player Game Stats'!$E$4:$E$500,'Player Game Stats'!$B$4:$B$500,A27))</f>
        <v>0</v>
      </c>
      <c r="G27">
        <f>IF(A27="","",SUMIFS('Player Game Stats'!$F$4:$F$500,'Player Game Stats'!$B$4:$B$500,A27))</f>
        <v>0</v>
      </c>
      <c r="H27">
        <f t="shared" si="0"/>
        <v>0</v>
      </c>
      <c r="I27">
        <f>IF(A27="","",SUMIFS('Player Game Stats'!$H$4:$H$500,'Player Game Stats'!$B$4:$B$500,A27))</f>
        <v>0</v>
      </c>
      <c r="J27">
        <f>IF(A27="","",SUMIFS('Player Game Stats'!$I$4:$I$500,'Player Game Stats'!$B$4:$B$500,A27))</f>
        <v>0</v>
      </c>
    </row>
    <row r="28" spans="1:10">
      <c r="A28" t="str">
        <f>IF(Players!A28="","",Players!A28)</f>
        <v>P025</v>
      </c>
      <c r="B28" t="str">
        <f>IF(A28="","",IFERROR(VLOOKUP(A28,Players!$A$4:$D$200,2,FALSE),""))</f>
        <v>Josh Hickman</v>
      </c>
      <c r="C28">
        <f>IF(A28="","",IFERROR(VLOOKUP(A28,Players!$A$4:$D$200,3,FALSE),""))</f>
        <v>40</v>
      </c>
      <c r="D28" t="str">
        <f>IF(A28="","",IFERROR(VLOOKUP(A28,Players!$A$4:$D$200,4,FALSE),""))</f>
        <v>Defence</v>
      </c>
      <c r="E28">
        <f>IF(A28="","",COUNTIFS('Player Game Stats'!$B$4:$B$500,A28,'Player Game Stats'!$D$4:$D$500,"Yes"))</f>
        <v>0</v>
      </c>
      <c r="F28">
        <f>IF(A28="","",SUMIFS('Player Game Stats'!$E$4:$E$500,'Player Game Stats'!$B$4:$B$500,A28))</f>
        <v>0</v>
      </c>
      <c r="G28">
        <f>IF(A28="","",SUMIFS('Player Game Stats'!$F$4:$F$500,'Player Game Stats'!$B$4:$B$500,A28))</f>
        <v>0</v>
      </c>
      <c r="H28">
        <f t="shared" si="0"/>
        <v>0</v>
      </c>
      <c r="I28">
        <f>IF(A28="","",SUMIFS('Player Game Stats'!$H$4:$H$500,'Player Game Stats'!$B$4:$B$500,A28))</f>
        <v>0</v>
      </c>
      <c r="J28">
        <f>IF(A28="","",SUMIFS('Player Game Stats'!$I$4:$I$500,'Player Game Stats'!$B$4:$B$500,A28))</f>
        <v>0</v>
      </c>
    </row>
    <row r="29" spans="1:10">
      <c r="A29" t="str">
        <f>IF(Players!A29="","",Players!A29)</f>
        <v>P026</v>
      </c>
      <c r="B29" t="str">
        <f>IF(A29="","",IFERROR(VLOOKUP(A29,Players!$A$4:$D$200,2,FALSE),""))</f>
        <v>Ryan Wonfor</v>
      </c>
      <c r="C29">
        <f>IF(A29="","",IFERROR(VLOOKUP(A29,Players!$A$4:$D$200,3,FALSE),""))</f>
        <v>77</v>
      </c>
      <c r="D29" t="str">
        <f>IF(A29="","",IFERROR(VLOOKUP(A29,Players!$A$4:$D$200,4,FALSE),""))</f>
        <v>Defence</v>
      </c>
      <c r="E29">
        <f>IF(A29="","",COUNTIFS('Player Game Stats'!$B$4:$B$500,A29,'Player Game Stats'!$D$4:$D$500,"Yes"))</f>
        <v>0</v>
      </c>
      <c r="F29">
        <f>IF(A29="","",SUMIFS('Player Game Stats'!$E$4:$E$500,'Player Game Stats'!$B$4:$B$500,A29))</f>
        <v>0</v>
      </c>
      <c r="G29">
        <f>IF(A29="","",SUMIFS('Player Game Stats'!$F$4:$F$500,'Player Game Stats'!$B$4:$B$500,A29))</f>
        <v>0</v>
      </c>
      <c r="H29">
        <f t="shared" si="0"/>
        <v>0</v>
      </c>
      <c r="I29">
        <f>IF(A29="","",SUMIFS('Player Game Stats'!$H$4:$H$500,'Player Game Stats'!$B$4:$B$500,A29))</f>
        <v>0</v>
      </c>
      <c r="J29">
        <f>IF(A29="","",SUMIFS('Player Game Stats'!$I$4:$I$500,'Player Game Stats'!$B$4:$B$500,A29))</f>
        <v>0</v>
      </c>
    </row>
    <row r="30" spans="1:10">
      <c r="A30" t="str">
        <f>IF(Players!A30="","",Players!A30)</f>
        <v>P027</v>
      </c>
      <c r="B30" t="str">
        <f>IF(A30="","",IFERROR(VLOOKUP(A30,Players!$A$4:$D$200,2,FALSE),""))</f>
        <v>Charles Coney</v>
      </c>
      <c r="C30">
        <f>IF(A30="","",IFERROR(VLOOKUP(A30,Players!$A$4:$D$200,3,FALSE),""))</f>
        <v>88</v>
      </c>
      <c r="D30" t="str">
        <f>IF(A30="","",IFERROR(VLOOKUP(A30,Players!$A$4:$D$200,4,FALSE),""))</f>
        <v>Defence</v>
      </c>
      <c r="E30">
        <f>IF(A30="","",COUNTIFS('Player Game Stats'!$B$4:$B$500,A30,'Player Game Stats'!$D$4:$D$500,"Yes"))</f>
        <v>0</v>
      </c>
      <c r="F30">
        <f>IF(A30="","",SUMIFS('Player Game Stats'!$E$4:$E$500,'Player Game Stats'!$B$4:$B$500,A30))</f>
        <v>0</v>
      </c>
      <c r="G30">
        <f>IF(A30="","",SUMIFS('Player Game Stats'!$F$4:$F$500,'Player Game Stats'!$B$4:$B$500,A30))</f>
        <v>0</v>
      </c>
      <c r="H30">
        <f t="shared" si="0"/>
        <v>0</v>
      </c>
      <c r="I30">
        <f>IF(A30="","",SUMIFS('Player Game Stats'!$H$4:$H$500,'Player Game Stats'!$B$4:$B$500,A30))</f>
        <v>0</v>
      </c>
      <c r="J30">
        <f>IF(A30="","",SUMIFS('Player Game Stats'!$I$4:$I$500,'Player Game Stats'!$B$4:$B$500,A30))</f>
        <v>0</v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2026-08-11T21:26:45Z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